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e948928de304c/Documents/"/>
    </mc:Choice>
  </mc:AlternateContent>
  <xr:revisionPtr revIDLastSave="1" documentId="8_{D5DFC508-E504-43D0-AC42-137143AD051A}" xr6:coauthVersionLast="47" xr6:coauthVersionMax="47" xr10:uidLastSave="{DA39E6FA-AD2F-4A3B-87E0-5B902774315E}"/>
  <bookViews>
    <workbookView xWindow="-120" yWindow="-120" windowWidth="20730" windowHeight="11160" activeTab="7" xr2:uid="{26778611-3BA3-4EBF-BE06-7E59108ED702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8" l="1"/>
  <c r="G10" i="7"/>
  <c r="F15" i="6"/>
  <c r="F16" i="6"/>
  <c r="F14" i="6"/>
  <c r="D8" i="3"/>
  <c r="D9" i="3"/>
  <c r="D10" i="3"/>
  <c r="D11" i="3"/>
  <c r="D7" i="3"/>
  <c r="B13" i="5"/>
  <c r="B11" i="4"/>
  <c r="D6" i="2"/>
  <c r="D7" i="2"/>
  <c r="D8" i="2"/>
  <c r="D5" i="2"/>
  <c r="D10" i="1"/>
  <c r="D11" i="1"/>
  <c r="D12" i="1"/>
  <c r="D13" i="1"/>
  <c r="D9" i="1"/>
</calcChain>
</file>

<file path=xl/sharedStrings.xml><?xml version="1.0" encoding="utf-8"?>
<sst xmlns="http://schemas.openxmlformats.org/spreadsheetml/2006/main" count="127" uniqueCount="103">
  <si>
    <t>1. Write a formula to check if the marks in cell  are greater than or equal to 40. If yes, return B2"Fail".</t>
  </si>
  <si>
    <t>Student Name</t>
  </si>
  <si>
    <t>Marks (B Column)</t>
  </si>
  <si>
    <t>Riya</t>
  </si>
  <si>
    <t>Siya</t>
  </si>
  <si>
    <t>Raju</t>
  </si>
  <si>
    <t>Rahul</t>
  </si>
  <si>
    <t>Ram</t>
  </si>
  <si>
    <t xml:space="preserve">RESULT </t>
  </si>
  <si>
    <r>
      <t>C9 &gt; 40</t>
    </r>
    <r>
      <rPr>
        <sz val="14"/>
        <color theme="1"/>
        <rFont val="Calibri"/>
        <family val="2"/>
        <scheme val="minor"/>
      </rPr>
      <t>: This is the logical test that checks if the value in cell C9 (the marks) is greater than or equal to 40.</t>
    </r>
  </si>
  <si>
    <r>
      <t>"Pass"</t>
    </r>
    <r>
      <rPr>
        <sz val="14"/>
        <color theme="1"/>
        <rFont val="Calibri"/>
        <family val="2"/>
        <scheme val="minor"/>
      </rPr>
      <t>: This is the value_if_true, returned if the logical test is TRUE</t>
    </r>
  </si>
  <si>
    <r>
      <t>"Fail"</t>
    </r>
    <r>
      <rPr>
        <sz val="14"/>
        <color theme="1"/>
        <rFont val="Calibri"/>
        <family val="2"/>
        <scheme val="minor"/>
      </rPr>
      <t>: This is the value_if_false, returned if the logical test is FALSE.</t>
    </r>
  </si>
  <si>
    <t xml:space="preserve">                   ASSIGNMENT 3</t>
  </si>
  <si>
    <t xml:space="preserve">        Logical Functions &amp; Lookup</t>
  </si>
  <si>
    <t>2. A company gives a bonus  if sales are above 40,000 and attendance is greater than or equal to 90%. Write a formula to calculate whether the employee will get a bonus or not.</t>
  </si>
  <si>
    <t>Employee</t>
  </si>
  <si>
    <t>Sales (B)</t>
  </si>
  <si>
    <t>Attendance (C)</t>
  </si>
  <si>
    <t>Arjun</t>
  </si>
  <si>
    <t>Simran</t>
  </si>
  <si>
    <t>Rohit</t>
  </si>
  <si>
    <t>Anjali</t>
  </si>
  <si>
    <t>IF (…,"Bonus","No Bonus"): The IF function returns</t>
  </si>
  <si>
    <t xml:space="preserve"> AND (B5 &gt; 40000, (C5 &gt; 90): The AND function checks if both logical tests are TRUE simultaneously.</t>
  </si>
  <si>
    <t>B5 &gt; 40000 : Checks if Sales (B5) is strictly greater than 40,000.</t>
  </si>
  <si>
    <t>C5 &gt;90 : Checks if Attendance (C5) is greater than or equal to 90.</t>
  </si>
  <si>
    <t>"Bonus" if the result of the AND function is TRUE.</t>
  </si>
  <si>
    <t>"No Bonus" if the result of the AND function is FALSE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</si>
  <si>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</si>
  <si>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</si>
  <si>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</si>
  <si>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</si>
  <si>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</si>
  <si>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</si>
  <si>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</si>
  <si>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</si>
  <si>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</si>
  <si>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</si>
  <si>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</si>
  <si>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</si>
  <si>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Sales</t>
  </si>
  <si>
    <t>The Department for Employee ID E103 is Finance.</t>
  </si>
  <si>
    <t>Sol:</t>
  </si>
  <si>
    <t>The LOOKUP Function Used and Why?</t>
  </si>
  <si>
    <r>
      <t xml:space="preserve">The most appropriate and standard function for this task in a vertical data arrangement like the one provided is </t>
    </r>
    <r>
      <rPr>
        <b/>
        <sz val="14"/>
        <color theme="1"/>
        <rFont val="Calibri"/>
        <family val="2"/>
        <scheme val="minor"/>
      </rPr>
      <t>VLOOKUP</t>
    </r>
    <r>
      <rPr>
        <sz val="14"/>
        <color theme="1"/>
        <rFont val="Calibri"/>
        <family val="2"/>
        <scheme val="minor"/>
      </rPr>
      <t xml:space="preserve"> (Vertical Lookup).</t>
    </r>
  </si>
  <si>
    <t>Feature</t>
  </si>
  <si>
    <t>Explanation</t>
  </si>
  <si>
    <t>Function Used</t>
  </si>
  <si>
    <t>VLOOKUP</t>
  </si>
  <si>
    <t>Why VLOOKUP?</t>
  </si>
  <si>
    <t>Vertical Data Structure: The data is organized vertically in columns (EmpID, Name, Department). VLOOKUP is designed to search for a value</t>
  </si>
  <si>
    <t xml:space="preserve"> in the first column of a table array and return a value from any column in the same row</t>
  </si>
  <si>
    <t>Why not HLOOKUP?</t>
  </si>
  <si>
    <t xml:space="preserve">Horizontal Data Structure: HLOOKUP (Horizontal Lookup) is used when the lookup values (e.g., EmpIDs) are arranged in a row across the top, </t>
  </si>
  <si>
    <t>which is not the case here.</t>
  </si>
  <si>
    <r>
      <t>4.</t>
    </r>
    <r>
      <rPr>
        <b/>
        <sz val="14"/>
        <color theme="1"/>
        <rFont val="Calibri"/>
        <family val="2"/>
        <scheme val="minor"/>
      </rPr>
      <t xml:space="preserve"> Find the Department of Employee ID = E103. Also explain which LOOKUP function is used and why?</t>
    </r>
  </si>
  <si>
    <t>VLOOKUP("E103",A5:C8, 3, FALSE) IS USED AS A FORMULA to find the department for "E103"</t>
  </si>
  <si>
    <t>5. A company has set the following commission structure for its sales team:</t>
  </si>
  <si>
    <t xml:space="preserve">Sol: The question asks you to use the VLOOKUP function to find the applicable commission rate for a salesperson who achieves sales of ₹45,000 , based on the following </t>
  </si>
  <si>
    <t>structure.</t>
  </si>
  <si>
    <t>Sales Amount</t>
  </si>
  <si>
    <t>Commission Rate</t>
  </si>
  <si>
    <t xml:space="preserve">E6 contains the sales amount (45000) </t>
  </si>
  <si>
    <t xml:space="preserve">The lookup table is B8:C11 </t>
  </si>
  <si>
    <t>the formula searches for the largest value less than or equal to 45000 in the "Sales Amount" column (B9:B11).</t>
  </si>
  <si>
    <t>45000 is between 20000 and 50000, so VLOOKUP returns the commission rate for 20000, which is (0.10%)</t>
  </si>
  <si>
    <r>
      <t>Finally , the applicable commison rate for a sales amount of 45000 is</t>
    </r>
    <r>
      <rPr>
        <b/>
        <sz val="14"/>
        <color theme="1"/>
        <rFont val="Calibri"/>
        <family val="2"/>
        <scheme val="minor"/>
      </rPr>
      <t xml:space="preserve"> 10%</t>
    </r>
    <r>
      <rPr>
        <sz val="14"/>
        <color theme="1"/>
        <rFont val="Calibri"/>
        <family val="2"/>
        <scheme val="minor"/>
      </rPr>
      <t>.</t>
    </r>
  </si>
  <si>
    <t xml:space="preserve">VLOOKUP(E6, B8:C11, 2, TRUE) FORMULA IS BEEN USED </t>
  </si>
  <si>
    <t>3. Write a nested IF formula:</t>
  </si>
  <si>
    <t>if Marks in B2&gt;=90 ---A, &gt;=75 --- B,&gt;=50 --- C, otherwise "Fail".</t>
  </si>
  <si>
    <t xml:space="preserve">Student </t>
  </si>
  <si>
    <t xml:space="preserve">Marks </t>
  </si>
  <si>
    <t>Grade</t>
  </si>
  <si>
    <t>Raj</t>
  </si>
  <si>
    <t xml:space="preserve">Neha </t>
  </si>
  <si>
    <t xml:space="preserve">Vivek </t>
  </si>
  <si>
    <t>Rani</t>
  </si>
  <si>
    <t xml:space="preserve">Sneha </t>
  </si>
  <si>
    <t>6. 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</si>
  <si>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</si>
  <si>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</si>
  <si>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</si>
  <si>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</si>
  <si>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</si>
  <si>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</si>
  <si>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>Status</t>
  </si>
  <si>
    <r>
      <t xml:space="preserve">If </t>
    </r>
    <r>
      <rPr>
        <b/>
        <sz val="14"/>
        <color theme="1"/>
        <rFont val="Calibri"/>
        <family val="2"/>
        <scheme val="minor"/>
      </rPr>
      <t>Leaves Taken &gt; Allowed Leaves</t>
    </r>
    <r>
      <rPr>
        <sz val="14"/>
        <color theme="1"/>
        <rFont val="Calibri"/>
        <family val="2"/>
        <scheme val="minor"/>
      </rPr>
      <t xml:space="preserve">, display </t>
    </r>
    <r>
      <rPr>
        <b/>
        <sz val="14"/>
        <color theme="1"/>
        <rFont val="Calibri"/>
        <family val="2"/>
        <scheme val="minor"/>
      </rPr>
      <t>"Exceeded"</t>
    </r>
  </si>
  <si>
    <r>
      <t xml:space="preserve">Otherwise, display </t>
    </r>
    <r>
      <rPr>
        <b/>
        <sz val="14"/>
        <color theme="1"/>
        <rFont val="Calibri"/>
        <family val="2"/>
        <scheme val="minor"/>
      </rPr>
      <t>"OK"</t>
    </r>
    <r>
      <rPr>
        <sz val="14"/>
        <color theme="1"/>
        <rFont val="Calibri"/>
        <family val="2"/>
        <scheme val="minor"/>
      </rPr>
      <t>.</t>
    </r>
  </si>
  <si>
    <t>7. Find the salary of EmpID = E105 using INDEX-MATCH Function.</t>
  </si>
  <si>
    <t>Salary</t>
  </si>
  <si>
    <t>E105</t>
  </si>
  <si>
    <t>E106</t>
  </si>
  <si>
    <t>MATCH finds the position of EmpID E105</t>
  </si>
  <si>
    <t>INDEX returns the salary from that position</t>
  </si>
  <si>
    <t>0 is used for exact match</t>
  </si>
  <si>
    <r>
      <t>The salary of EmpID</t>
    </r>
    <r>
      <rPr>
        <b/>
        <sz val="14"/>
        <color theme="1"/>
        <rFont val="Calibri"/>
        <family val="2"/>
        <scheme val="minor"/>
      </rPr>
      <t xml:space="preserve"> E105</t>
    </r>
    <r>
      <rPr>
        <sz val="14"/>
        <color theme="1"/>
        <rFont val="Calibri"/>
        <family val="2"/>
        <scheme val="minor"/>
      </rPr>
      <t xml:space="preserve"> is</t>
    </r>
  </si>
  <si>
    <t>8. Use the XLOOKUP function to find the Department of the employee with Emp ID = E303</t>
  </si>
  <si>
    <t>E303</t>
  </si>
  <si>
    <t>E301</t>
  </si>
  <si>
    <t>The Department of the employee with Emp ID = E303 is</t>
  </si>
  <si>
    <t xml:space="preserve">XLOOKUP searches for EmpID E303 </t>
  </si>
  <si>
    <t>XLOOKUP is used because it is simple, flexible, and works left-to-right or right-to-left</t>
  </si>
  <si>
    <t>It returns the corresponding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</si>
</sst>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✔\ 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4"/>
      <color rgb="FF1F1F1F"/>
      <name val="Calibri"/>
      <family val="2"/>
      <scheme val="minor"/>
    </font>
    <font>
      <b/>
      <sz val="14"/>
      <color rgb="FF1F1F1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1" xfId="0" applyFont="1" applyBorder="1" applyAlignment="1">
      <alignment horizontal="right" wrapText="1"/>
    </xf>
    <xf numFmtId="0" fontId="6" fillId="0" borderId="2" xfId="0" applyFont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5" fillId="3" borderId="2" xfId="0" applyFont="1" applyFill="1" applyBorder="1" applyAlignment="1">
      <alignment wrapText="1"/>
    </xf>
    <xf numFmtId="0" fontId="6" fillId="3" borderId="2" xfId="0" applyFont="1" applyFill="1" applyBorder="1"/>
    <xf numFmtId="0" fontId="8" fillId="0" borderId="0" xfId="0" applyFont="1"/>
    <xf numFmtId="0" fontId="6" fillId="0" borderId="0" xfId="0" applyFont="1"/>
    <xf numFmtId="0" fontId="6" fillId="0" borderId="4" xfId="0" applyFont="1" applyBorder="1"/>
    <xf numFmtId="0" fontId="6" fillId="0" borderId="1" xfId="0" applyFont="1" applyBorder="1"/>
    <xf numFmtId="164" fontId="6" fillId="0" borderId="0" xfId="0" applyNumberFormat="1" applyFont="1"/>
    <xf numFmtId="164" fontId="8" fillId="0" borderId="0" xfId="0" applyNumberFormat="1" applyFont="1"/>
    <xf numFmtId="0" fontId="6" fillId="2" borderId="0" xfId="0" applyFont="1" applyFill="1"/>
    <xf numFmtId="0" fontId="1" fillId="2" borderId="0" xfId="0" applyFont="1" applyFill="1"/>
    <xf numFmtId="0" fontId="2" fillId="4" borderId="0" xfId="0" applyFont="1" applyFill="1"/>
    <xf numFmtId="0" fontId="0" fillId="4" borderId="0" xfId="0" applyFill="1"/>
    <xf numFmtId="0" fontId="9" fillId="0" borderId="0" xfId="0" applyFont="1"/>
    <xf numFmtId="0" fontId="6" fillId="3" borderId="5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0" fillId="0" borderId="0" xfId="0" applyFont="1"/>
    <xf numFmtId="0" fontId="4" fillId="0" borderId="1" xfId="0" applyFont="1" applyBorder="1" applyAlignment="1">
      <alignment wrapText="1"/>
    </xf>
    <xf numFmtId="0" fontId="6" fillId="5" borderId="0" xfId="0" applyFont="1" applyFill="1"/>
    <xf numFmtId="0" fontId="8" fillId="0" borderId="0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11" fillId="0" borderId="0" xfId="0" applyFont="1"/>
    <xf numFmtId="0" fontId="6" fillId="3" borderId="1" xfId="0" applyFont="1" applyFill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9" fillId="6" borderId="1" xfId="0" applyFont="1" applyFill="1" applyBorder="1"/>
    <xf numFmtId="0" fontId="9" fillId="6" borderId="1" xfId="0" applyFont="1" applyFill="1" applyBorder="1" applyAlignment="1">
      <alignment vertical="top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10" fillId="2" borderId="0" xfId="0" applyFont="1" applyFill="1"/>
    <xf numFmtId="0" fontId="9" fillId="2" borderId="0" xfId="0" applyFont="1" applyFill="1"/>
    <xf numFmtId="0" fontId="8" fillId="2" borderId="0" xfId="0" applyFont="1" applyFill="1"/>
    <xf numFmtId="0" fontId="0" fillId="7" borderId="0" xfId="0" applyFill="1"/>
    <xf numFmtId="0" fontId="8" fillId="8" borderId="0" xfId="0" applyFont="1" applyFill="1"/>
    <xf numFmtId="9" fontId="3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vertical="center"/>
    </xf>
    <xf numFmtId="0" fontId="8" fillId="5" borderId="0" xfId="0" applyFont="1" applyFill="1"/>
    <xf numFmtId="0" fontId="8" fillId="3" borderId="0" xfId="0" applyFont="1" applyFill="1"/>
    <xf numFmtId="0" fontId="0" fillId="9" borderId="0" xfId="0" applyFill="1"/>
    <xf numFmtId="0" fontId="4" fillId="10" borderId="1" xfId="0" applyFont="1" applyFill="1" applyBorder="1" applyAlignment="1">
      <alignment horizontal="right" wrapText="1"/>
    </xf>
    <xf numFmtId="9" fontId="4" fillId="10" borderId="1" xfId="0" applyNumberFormat="1" applyFont="1" applyFill="1" applyBorder="1" applyAlignment="1">
      <alignment horizontal="right" wrapText="1"/>
    </xf>
    <xf numFmtId="0" fontId="0" fillId="3" borderId="0" xfId="0" applyFill="1"/>
    <xf numFmtId="0" fontId="8" fillId="0" borderId="0" xfId="0" applyFont="1" applyFill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" xfId="0" applyFont="1" applyBorder="1"/>
    <xf numFmtId="0" fontId="8" fillId="0" borderId="6" xfId="0" applyFont="1" applyBorder="1"/>
    <xf numFmtId="0" fontId="8" fillId="0" borderId="9" xfId="0" applyFont="1" applyBorder="1"/>
    <xf numFmtId="0" fontId="8" fillId="0" borderId="10" xfId="0" applyFont="1" applyBorder="1"/>
    <xf numFmtId="0" fontId="0" fillId="2" borderId="0" xfId="0" applyFill="1"/>
    <xf numFmtId="0" fontId="12" fillId="0" borderId="1" xfId="0" applyFont="1" applyBorder="1" applyAlignment="1">
      <alignment horizontal="left" vertical="center" wrapText="1" indent="1" readingOrder="1"/>
    </xf>
    <xf numFmtId="0" fontId="12" fillId="0" borderId="4" xfId="0" applyFont="1" applyBorder="1" applyAlignment="1">
      <alignment horizontal="left" vertical="center" wrapText="1" indent="1" readingOrder="1"/>
    </xf>
    <xf numFmtId="0" fontId="14" fillId="0" borderId="1" xfId="0" applyFont="1" applyBorder="1" applyAlignment="1">
      <alignment horizontal="left" vertical="center" wrapText="1" indent="1" readingOrder="1"/>
    </xf>
    <xf numFmtId="0" fontId="15" fillId="3" borderId="2" xfId="0" applyFont="1" applyFill="1" applyBorder="1" applyAlignment="1">
      <alignment horizontal="left" vertical="center" wrapText="1" indent="1" readingOrder="1"/>
    </xf>
    <xf numFmtId="0" fontId="1" fillId="11" borderId="4" xfId="0" applyFont="1" applyFill="1" applyBorder="1"/>
    <xf numFmtId="0" fontId="14" fillId="0" borderId="4" xfId="0" applyFont="1" applyFill="1" applyBorder="1" applyAlignment="1">
      <alignment horizontal="left" vertical="center" wrapText="1" indent="1" readingOrder="1"/>
    </xf>
    <xf numFmtId="0" fontId="14" fillId="0" borderId="1" xfId="0" applyFont="1" applyFill="1" applyBorder="1" applyAlignment="1">
      <alignment horizontal="left" vertical="center" wrapText="1" indent="1" readingOrder="1"/>
    </xf>
    <xf numFmtId="164" fontId="8" fillId="12" borderId="0" xfId="0" applyNumberFormat="1" applyFont="1" applyFill="1"/>
    <xf numFmtId="164" fontId="0" fillId="12" borderId="0" xfId="0" applyNumberFormat="1" applyFill="1"/>
    <xf numFmtId="0" fontId="13" fillId="2" borderId="2" xfId="0" applyFont="1" applyFill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164" fontId="8" fillId="13" borderId="0" xfId="0" applyNumberFormat="1" applyFont="1" applyFill="1"/>
    <xf numFmtId="0" fontId="0" fillId="13" borderId="0" xfId="0" applyFont="1" applyFill="1"/>
    <xf numFmtId="0" fontId="15" fillId="0" borderId="1" xfId="0" applyFont="1" applyBorder="1" applyAlignment="1">
      <alignment horizontal="left" vertical="center" wrapText="1" indent="1" readingOrder="1"/>
    </xf>
    <xf numFmtId="0" fontId="15" fillId="3" borderId="1" xfId="0" applyFont="1" applyFill="1" applyBorder="1" applyAlignment="1">
      <alignment horizontal="left" vertical="center" wrapText="1" indent="1" readingOrder="1"/>
    </xf>
    <xf numFmtId="164" fontId="0" fillId="13" borderId="0" xfId="0" applyNumberFormat="1" applyFill="1"/>
    <xf numFmtId="164" fontId="8" fillId="13" borderId="0" xfId="0" applyNumberFormat="1" applyFont="1" applyFill="1" applyAlignment="1">
      <alignment horizontal="left" vertical="center" indent="1"/>
    </xf>
    <xf numFmtId="0" fontId="8" fillId="14" borderId="0" xfId="0" applyFont="1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F5CA91E-813C-43D2-9BE2-F4BE79480BDE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756322F-E978-4336-BCFB-E3FE97B638E1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qGmKNvDI1UrEAqiJDCG9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5720-D61C-46B9-8E74-601B94159913}">
  <dimension ref="A2:H20"/>
  <sheetViews>
    <sheetView topLeftCell="A4" workbookViewId="0">
      <selection activeCell="I8" sqref="I8"/>
    </sheetView>
  </sheetViews>
  <sheetFormatPr defaultRowHeight="15" x14ac:dyDescent="0.25"/>
  <cols>
    <col min="1" max="1" width="9.140625" customWidth="1"/>
    <col min="2" max="2" width="23.5703125" customWidth="1"/>
    <col min="3" max="3" width="27.42578125" customWidth="1"/>
    <col min="4" max="4" width="18" customWidth="1"/>
  </cols>
  <sheetData>
    <row r="2" spans="1:8" ht="21" x14ac:dyDescent="0.35">
      <c r="D2" s="17" t="s">
        <v>12</v>
      </c>
      <c r="E2" s="17"/>
      <c r="F2" s="17"/>
      <c r="G2" s="18"/>
    </row>
    <row r="3" spans="1:8" ht="21" x14ac:dyDescent="0.35">
      <c r="D3" s="17" t="s">
        <v>13</v>
      </c>
      <c r="E3" s="17"/>
      <c r="F3" s="17"/>
      <c r="G3" s="18"/>
    </row>
    <row r="6" spans="1:8" ht="18.75" x14ac:dyDescent="0.3">
      <c r="A6" s="15" t="s">
        <v>0</v>
      </c>
      <c r="B6" s="15"/>
      <c r="C6" s="15"/>
      <c r="D6" s="15"/>
      <c r="E6" s="15"/>
      <c r="F6" s="15"/>
      <c r="G6" s="16"/>
      <c r="H6" s="16"/>
    </row>
    <row r="7" spans="1:8" ht="15.75" thickBot="1" x14ac:dyDescent="0.3"/>
    <row r="8" spans="1:8" ht="19.5" thickBot="1" x14ac:dyDescent="0.35">
      <c r="B8" s="7" t="s">
        <v>1</v>
      </c>
      <c r="C8" s="7" t="s">
        <v>2</v>
      </c>
      <c r="D8" s="8" t="s">
        <v>8</v>
      </c>
    </row>
    <row r="9" spans="1:8" ht="18.75" x14ac:dyDescent="0.3">
      <c r="B9" s="3" t="s">
        <v>3</v>
      </c>
      <c r="C9" s="4">
        <v>45</v>
      </c>
      <c r="D9" s="11" t="str">
        <f>IF($C9&gt;40,"pass","fail")</f>
        <v>pass</v>
      </c>
    </row>
    <row r="10" spans="1:8" ht="18.75" x14ac:dyDescent="0.3">
      <c r="B10" s="5" t="s">
        <v>4</v>
      </c>
      <c r="C10" s="6">
        <v>72</v>
      </c>
      <c r="D10" s="12" t="str">
        <f t="shared" ref="D10:D13" si="0">IF($C10&gt;40,"pass","fail")</f>
        <v>pass</v>
      </c>
    </row>
    <row r="11" spans="1:8" ht="18.75" x14ac:dyDescent="0.3">
      <c r="B11" s="5" t="s">
        <v>5</v>
      </c>
      <c r="C11" s="6">
        <v>55</v>
      </c>
      <c r="D11" s="12" t="str">
        <f t="shared" si="0"/>
        <v>pass</v>
      </c>
    </row>
    <row r="12" spans="1:8" ht="18.75" x14ac:dyDescent="0.3">
      <c r="B12" s="5" t="s">
        <v>6</v>
      </c>
      <c r="C12" s="6">
        <v>80</v>
      </c>
      <c r="D12" s="12" t="str">
        <f t="shared" si="0"/>
        <v>pass</v>
      </c>
    </row>
    <row r="13" spans="1:8" ht="18.75" x14ac:dyDescent="0.3">
      <c r="B13" s="5" t="s">
        <v>7</v>
      </c>
      <c r="C13" s="6">
        <v>30</v>
      </c>
      <c r="D13" s="12" t="str">
        <f t="shared" si="0"/>
        <v>fail</v>
      </c>
    </row>
    <row r="16" spans="1:8" ht="18.75" x14ac:dyDescent="0.3">
      <c r="B16" s="13" t="s">
        <v>9</v>
      </c>
      <c r="C16" s="9"/>
      <c r="D16" s="9"/>
      <c r="E16" s="9"/>
      <c r="F16" s="9"/>
      <c r="G16" s="9"/>
      <c r="H16" s="9"/>
    </row>
    <row r="17" spans="2:8" ht="18.75" x14ac:dyDescent="0.3">
      <c r="B17" s="9"/>
      <c r="C17" s="9"/>
      <c r="D17" s="9"/>
      <c r="E17" s="9"/>
      <c r="F17" s="9"/>
      <c r="G17" s="9"/>
      <c r="H17" s="9"/>
    </row>
    <row r="18" spans="2:8" ht="18.75" x14ac:dyDescent="0.3">
      <c r="B18" s="13" t="s">
        <v>10</v>
      </c>
      <c r="C18" s="14"/>
      <c r="D18" s="14"/>
      <c r="E18" s="14"/>
      <c r="F18" s="9"/>
      <c r="G18" s="9"/>
      <c r="H18" s="9"/>
    </row>
    <row r="19" spans="2:8" ht="18.75" x14ac:dyDescent="0.3">
      <c r="B19" s="14"/>
      <c r="C19" s="14"/>
      <c r="D19" s="14"/>
      <c r="E19" s="14"/>
      <c r="F19" s="9"/>
      <c r="G19" s="9"/>
      <c r="H19" s="9"/>
    </row>
    <row r="20" spans="2:8" ht="18.75" x14ac:dyDescent="0.3">
      <c r="B20" s="13" t="s">
        <v>11</v>
      </c>
      <c r="C20" s="14"/>
      <c r="D20" s="14"/>
      <c r="E20" s="14"/>
      <c r="F20" s="9"/>
      <c r="G20" s="9"/>
      <c r="H2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27A2-3642-48F3-B3FB-57CEA3BBADDE}">
  <dimension ref="A2:Q21"/>
  <sheetViews>
    <sheetView workbookViewId="0">
      <selection activeCell="H4" sqref="H4"/>
    </sheetView>
  </sheetViews>
  <sheetFormatPr defaultRowHeight="15" x14ac:dyDescent="0.25"/>
  <cols>
    <col min="1" max="3" width="18" customWidth="1"/>
    <col min="4" max="4" width="18.42578125" customWidth="1"/>
  </cols>
  <sheetData>
    <row r="2" spans="1:17" ht="15.75" x14ac:dyDescent="0.25">
      <c r="A2" s="38" t="s">
        <v>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9"/>
    </row>
    <row r="3" spans="1:17" ht="15.75" thickBot="1" x14ac:dyDescent="0.3"/>
    <row r="4" spans="1:17" ht="38.25" thickBot="1" x14ac:dyDescent="0.35">
      <c r="A4" s="20" t="s">
        <v>15</v>
      </c>
      <c r="B4" s="20" t="s">
        <v>16</v>
      </c>
      <c r="C4" s="20" t="s">
        <v>17</v>
      </c>
      <c r="D4" s="21" t="s">
        <v>8</v>
      </c>
    </row>
    <row r="5" spans="1:17" ht="19.5" thickBot="1" x14ac:dyDescent="0.35">
      <c r="A5" s="23" t="s">
        <v>18</v>
      </c>
      <c r="B5" s="23">
        <v>55000</v>
      </c>
      <c r="C5" s="24">
        <v>95</v>
      </c>
      <c r="D5" s="2" t="str">
        <f>IF(AND(B5&gt;40000,C5&gt;90),"Bonus","No Bonus")</f>
        <v>Bonus</v>
      </c>
    </row>
    <row r="6" spans="1:17" ht="19.5" thickBot="1" x14ac:dyDescent="0.35">
      <c r="A6" s="23" t="s">
        <v>19</v>
      </c>
      <c r="B6" s="23">
        <v>65000</v>
      </c>
      <c r="C6" s="24">
        <v>85</v>
      </c>
      <c r="D6" s="2" t="str">
        <f t="shared" ref="D6:D8" si="0">IF(AND(B6&gt;40000,C6&gt;90),"Bonus","No Bonus")</f>
        <v>No Bonus</v>
      </c>
    </row>
    <row r="7" spans="1:17" ht="19.5" thickBot="1" x14ac:dyDescent="0.35">
      <c r="A7" s="23" t="s">
        <v>20</v>
      </c>
      <c r="B7" s="23">
        <v>30000</v>
      </c>
      <c r="C7" s="24">
        <v>90</v>
      </c>
      <c r="D7" s="2" t="str">
        <f t="shared" si="0"/>
        <v>No Bonus</v>
      </c>
    </row>
    <row r="8" spans="1:17" ht="19.5" thickBot="1" x14ac:dyDescent="0.35">
      <c r="A8" s="23" t="s">
        <v>21</v>
      </c>
      <c r="B8" s="23">
        <v>25000</v>
      </c>
      <c r="C8" s="24">
        <v>65</v>
      </c>
      <c r="D8" s="2" t="str">
        <f t="shared" si="0"/>
        <v>No Bonus</v>
      </c>
    </row>
    <row r="11" spans="1:17" ht="18.75" x14ac:dyDescent="0.3">
      <c r="A11" s="14" t="s">
        <v>23</v>
      </c>
      <c r="B11" s="14"/>
      <c r="C11" s="14"/>
      <c r="D11" s="14"/>
      <c r="E11" s="14"/>
      <c r="F11" s="14"/>
      <c r="G11" s="9"/>
      <c r="H11" s="25"/>
    </row>
    <row r="12" spans="1:17" ht="18.75" x14ac:dyDescent="0.3">
      <c r="A12" s="14"/>
      <c r="B12" s="14"/>
      <c r="C12" s="14"/>
      <c r="D12" s="14"/>
      <c r="E12" s="14"/>
      <c r="F12" s="14"/>
      <c r="G12" s="9"/>
      <c r="H12" s="25"/>
    </row>
    <row r="13" spans="1:17" ht="18.75" x14ac:dyDescent="0.3">
      <c r="A13" s="14" t="s">
        <v>24</v>
      </c>
      <c r="B13" s="14"/>
      <c r="C13" s="14"/>
      <c r="D13" s="14"/>
      <c r="E13" s="14"/>
      <c r="F13" s="14"/>
      <c r="G13" s="9"/>
      <c r="H13" s="25"/>
    </row>
    <row r="14" spans="1:17" ht="18.75" x14ac:dyDescent="0.3">
      <c r="A14" s="14"/>
      <c r="B14" s="14"/>
      <c r="C14" s="14"/>
      <c r="D14" s="14"/>
      <c r="E14" s="14"/>
      <c r="F14" s="14"/>
      <c r="G14" s="9"/>
      <c r="H14" s="25"/>
    </row>
    <row r="15" spans="1:17" ht="18.75" x14ac:dyDescent="0.3">
      <c r="A15" s="14" t="s">
        <v>25</v>
      </c>
      <c r="B15" s="14"/>
      <c r="C15" s="14"/>
      <c r="D15" s="14"/>
      <c r="E15" s="14"/>
      <c r="F15" s="14"/>
      <c r="G15" s="9"/>
      <c r="H15" s="25"/>
    </row>
    <row r="17" spans="2:5" ht="18.75" x14ac:dyDescent="0.3">
      <c r="B17" s="10" t="s">
        <v>22</v>
      </c>
      <c r="C17" s="10"/>
      <c r="D17" s="10"/>
      <c r="E17" s="9"/>
    </row>
    <row r="18" spans="2:5" ht="18.75" x14ac:dyDescent="0.3">
      <c r="B18" s="9"/>
      <c r="C18" s="9"/>
      <c r="D18" s="9"/>
      <c r="E18" s="9"/>
    </row>
    <row r="19" spans="2:5" ht="18.75" x14ac:dyDescent="0.3">
      <c r="B19" s="14" t="s">
        <v>26</v>
      </c>
      <c r="C19" s="14"/>
      <c r="D19" s="14"/>
      <c r="E19" s="9"/>
    </row>
    <row r="20" spans="2:5" ht="18.75" x14ac:dyDescent="0.3">
      <c r="B20" s="14"/>
      <c r="C20" s="14"/>
      <c r="D20" s="14"/>
      <c r="E20" s="9"/>
    </row>
    <row r="21" spans="2:5" ht="18.75" x14ac:dyDescent="0.3">
      <c r="B21" s="14" t="s">
        <v>27</v>
      </c>
      <c r="C21" s="14"/>
      <c r="D21" s="14"/>
      <c r="E2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93E9-52B6-4026-BE36-658132D54465}">
  <dimension ref="A2:G11"/>
  <sheetViews>
    <sheetView workbookViewId="0">
      <selection activeCell="F7" sqref="F7"/>
    </sheetView>
  </sheetViews>
  <sheetFormatPr defaultRowHeight="15" x14ac:dyDescent="0.25"/>
  <cols>
    <col min="1" max="1" width="9.140625" customWidth="1"/>
    <col min="2" max="3" width="18.42578125" customWidth="1"/>
  </cols>
  <sheetData>
    <row r="2" spans="1:7" ht="18.75" x14ac:dyDescent="0.3">
      <c r="B2" s="15" t="s">
        <v>68</v>
      </c>
      <c r="C2" s="15"/>
      <c r="D2" s="15"/>
      <c r="E2" s="15"/>
      <c r="F2" s="16"/>
      <c r="G2" s="16"/>
    </row>
    <row r="3" spans="1:7" ht="18.75" x14ac:dyDescent="0.3">
      <c r="B3" s="15" t="s">
        <v>69</v>
      </c>
      <c r="C3" s="15"/>
      <c r="D3" s="15"/>
      <c r="E3" s="15"/>
      <c r="F3" s="16"/>
      <c r="G3" s="16"/>
    </row>
    <row r="5" spans="1:7" ht="15.75" customHeight="1" thickBot="1" x14ac:dyDescent="0.35">
      <c r="A5" s="9" t="s">
        <v>42</v>
      </c>
    </row>
    <row r="6" spans="1:7" ht="19.5" thickBot="1" x14ac:dyDescent="0.35">
      <c r="B6" s="8" t="s">
        <v>70</v>
      </c>
      <c r="C6" s="8" t="s">
        <v>71</v>
      </c>
      <c r="D6" s="8" t="s">
        <v>72</v>
      </c>
    </row>
    <row r="7" spans="1:7" ht="18.75" x14ac:dyDescent="0.3">
      <c r="B7" s="52" t="s">
        <v>73</v>
      </c>
      <c r="C7" s="53">
        <v>85</v>
      </c>
      <c r="D7" s="54" t="str">
        <f>IF(C7&gt;=90,"A",IF(C7&gt;75,"B",IF(C7&gt;=50,"C","Fail")))</f>
        <v>B</v>
      </c>
    </row>
    <row r="8" spans="1:7" ht="18.75" x14ac:dyDescent="0.3">
      <c r="B8" s="55" t="s">
        <v>74</v>
      </c>
      <c r="C8" s="56">
        <v>96</v>
      </c>
      <c r="D8" s="57" t="str">
        <f t="shared" ref="D8:D11" si="0">IF(C8&gt;=90,"A",IF(C8&gt;75,"B",IF(C8&gt;=50,"C","Fail")))</f>
        <v>A</v>
      </c>
    </row>
    <row r="9" spans="1:7" ht="18.75" x14ac:dyDescent="0.3">
      <c r="B9" s="55" t="s">
        <v>75</v>
      </c>
      <c r="C9" s="56">
        <v>57</v>
      </c>
      <c r="D9" s="57" t="str">
        <f t="shared" si="0"/>
        <v>C</v>
      </c>
    </row>
    <row r="10" spans="1:7" ht="18.75" x14ac:dyDescent="0.3">
      <c r="B10" s="55" t="s">
        <v>76</v>
      </c>
      <c r="C10" s="56">
        <v>92</v>
      </c>
      <c r="D10" s="57" t="str">
        <f t="shared" si="0"/>
        <v>A</v>
      </c>
    </row>
    <row r="11" spans="1:7" ht="19.5" thickBot="1" x14ac:dyDescent="0.35">
      <c r="B11" s="55" t="s">
        <v>77</v>
      </c>
      <c r="C11" s="56">
        <v>75</v>
      </c>
      <c r="D11" s="58" t="str">
        <f t="shared" si="0"/>
        <v>C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26FD-FF57-4317-BC6B-964DE1EB7CE3}">
  <dimension ref="A2:M25"/>
  <sheetViews>
    <sheetView workbookViewId="0">
      <selection activeCell="C17" sqref="C17"/>
    </sheetView>
  </sheetViews>
  <sheetFormatPr defaultRowHeight="15" x14ac:dyDescent="0.25"/>
  <cols>
    <col min="1" max="1" width="9.140625" customWidth="1"/>
    <col min="2" max="2" width="20.28515625" customWidth="1"/>
    <col min="3" max="3" width="134.28515625" customWidth="1"/>
    <col min="12" max="12" width="18.140625" customWidth="1"/>
    <col min="13" max="13" width="11.42578125" customWidth="1"/>
    <col min="14" max="14" width="11.140625" customWidth="1"/>
  </cols>
  <sheetData>
    <row r="2" spans="1:10" ht="18.75" x14ac:dyDescent="0.3">
      <c r="A2" s="40" t="s">
        <v>55</v>
      </c>
      <c r="B2" s="40"/>
      <c r="C2" s="40"/>
      <c r="D2" s="9"/>
      <c r="E2" s="9"/>
      <c r="F2" s="9"/>
      <c r="G2" s="9"/>
      <c r="H2" s="9"/>
      <c r="I2" s="9"/>
      <c r="J2" s="9"/>
    </row>
    <row r="4" spans="1:10" ht="18.75" x14ac:dyDescent="0.3">
      <c r="A4" s="29" t="s">
        <v>28</v>
      </c>
      <c r="B4" s="29" t="s">
        <v>29</v>
      </c>
      <c r="C4" s="29" t="s">
        <v>30</v>
      </c>
    </row>
    <row r="5" spans="1:10" ht="18.75" x14ac:dyDescent="0.3">
      <c r="A5" s="22" t="s">
        <v>31</v>
      </c>
      <c r="B5" s="22" t="s">
        <v>5</v>
      </c>
      <c r="C5" s="22" t="s">
        <v>32</v>
      </c>
    </row>
    <row r="6" spans="1:10" ht="18.75" x14ac:dyDescent="0.3">
      <c r="A6" s="22" t="s">
        <v>33</v>
      </c>
      <c r="B6" s="22" t="s">
        <v>3</v>
      </c>
      <c r="C6" s="22" t="s">
        <v>34</v>
      </c>
    </row>
    <row r="7" spans="1:10" ht="18.75" x14ac:dyDescent="0.3">
      <c r="A7" s="22" t="s">
        <v>35</v>
      </c>
      <c r="B7" s="22" t="s">
        <v>36</v>
      </c>
      <c r="C7" s="22" t="s">
        <v>37</v>
      </c>
    </row>
    <row r="8" spans="1:10" ht="18.75" x14ac:dyDescent="0.3">
      <c r="A8" s="22" t="s">
        <v>38</v>
      </c>
      <c r="B8" s="22" t="s">
        <v>39</v>
      </c>
      <c r="C8" s="22" t="s">
        <v>40</v>
      </c>
    </row>
    <row r="11" spans="1:10" ht="18.75" x14ac:dyDescent="0.3">
      <c r="A11" s="28" t="s">
        <v>42</v>
      </c>
      <c r="B11" s="27" t="str">
        <f>VLOOKUP("E103",A5:C8, 3, FALSE)</f>
        <v>Finance</v>
      </c>
      <c r="C11" s="41" t="s">
        <v>56</v>
      </c>
    </row>
    <row r="13" spans="1:10" ht="18.75" x14ac:dyDescent="0.3">
      <c r="A13" s="30" t="s">
        <v>41</v>
      </c>
      <c r="B13" s="30"/>
      <c r="C13" s="30"/>
      <c r="D13" s="9"/>
      <c r="E13" s="9"/>
    </row>
    <row r="16" spans="1:10" ht="18.75" x14ac:dyDescent="0.3">
      <c r="A16" s="10" t="s">
        <v>43</v>
      </c>
      <c r="B16" s="10"/>
      <c r="C16" s="10"/>
      <c r="D16" s="10"/>
    </row>
    <row r="18" spans="2:13" ht="18.75" x14ac:dyDescent="0.3">
      <c r="B18" s="42" t="s">
        <v>44</v>
      </c>
      <c r="C18" s="42"/>
      <c r="D18" s="9"/>
      <c r="E18" s="9"/>
      <c r="F18" s="9"/>
      <c r="G18" s="9"/>
      <c r="H18" s="9"/>
      <c r="I18" s="9"/>
      <c r="J18" s="9"/>
      <c r="K18" s="9"/>
      <c r="L18" s="9"/>
      <c r="M18" s="9"/>
    </row>
    <row r="20" spans="2:13" ht="18.75" x14ac:dyDescent="0.3">
      <c r="B20" s="31" t="s">
        <v>45</v>
      </c>
      <c r="C20" s="31" t="s">
        <v>46</v>
      </c>
    </row>
    <row r="21" spans="2:13" ht="15.75" x14ac:dyDescent="0.25">
      <c r="B21" s="35" t="s">
        <v>47</v>
      </c>
      <c r="C21" s="32" t="s">
        <v>48</v>
      </c>
    </row>
    <row r="22" spans="2:13" ht="15.75" x14ac:dyDescent="0.25">
      <c r="B22" s="36" t="s">
        <v>49</v>
      </c>
      <c r="C22" s="34" t="s">
        <v>50</v>
      </c>
    </row>
    <row r="23" spans="2:13" ht="15.75" x14ac:dyDescent="0.25">
      <c r="B23" s="37"/>
      <c r="C23" s="33" t="s">
        <v>51</v>
      </c>
    </row>
    <row r="24" spans="2:13" ht="15.75" x14ac:dyDescent="0.25">
      <c r="B24" s="37" t="s">
        <v>52</v>
      </c>
      <c r="C24" s="33" t="s">
        <v>53</v>
      </c>
    </row>
    <row r="25" spans="2:13" ht="15.75" x14ac:dyDescent="0.25">
      <c r="B25" s="37"/>
      <c r="C25" s="3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077B-8C78-44A4-BFCD-BDF0F3656820}">
  <dimension ref="A2:R20"/>
  <sheetViews>
    <sheetView workbookViewId="0">
      <selection activeCell="K9" sqref="K9"/>
    </sheetView>
  </sheetViews>
  <sheetFormatPr defaultRowHeight="15" x14ac:dyDescent="0.25"/>
  <cols>
    <col min="2" max="2" width="15.140625" customWidth="1"/>
    <col min="3" max="3" width="18.28515625" customWidth="1"/>
  </cols>
  <sheetData>
    <row r="2" spans="1:18" ht="18.75" x14ac:dyDescent="0.3">
      <c r="A2" s="15" t="s">
        <v>57</v>
      </c>
      <c r="B2" s="15"/>
      <c r="C2" s="15"/>
      <c r="D2" s="15"/>
      <c r="E2" s="15"/>
      <c r="F2" s="15"/>
      <c r="G2" s="40"/>
      <c r="H2" s="40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8.75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8.75" x14ac:dyDescent="0.3">
      <c r="A4" s="9" t="s">
        <v>58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8.75" x14ac:dyDescent="0.3">
      <c r="A5" s="9" t="s">
        <v>59</v>
      </c>
    </row>
    <row r="6" spans="1:18" ht="15.75" x14ac:dyDescent="0.25">
      <c r="E6" s="19">
        <v>45000</v>
      </c>
    </row>
    <row r="7" spans="1:18" x14ac:dyDescent="0.25">
      <c r="B7" s="26" t="s">
        <v>60</v>
      </c>
      <c r="C7" s="44" t="s">
        <v>61</v>
      </c>
    </row>
    <row r="8" spans="1:18" x14ac:dyDescent="0.25">
      <c r="B8" s="1">
        <v>0</v>
      </c>
      <c r="C8" s="43">
        <v>0.05</v>
      </c>
    </row>
    <row r="9" spans="1:18" x14ac:dyDescent="0.25">
      <c r="B9" s="48">
        <v>20000</v>
      </c>
      <c r="C9" s="49">
        <v>0.1</v>
      </c>
    </row>
    <row r="10" spans="1:18" ht="18.75" x14ac:dyDescent="0.3">
      <c r="B10" s="1">
        <v>50000</v>
      </c>
      <c r="C10" s="43">
        <v>0.15</v>
      </c>
      <c r="H10" s="14"/>
      <c r="I10" s="14"/>
      <c r="J10" s="14"/>
    </row>
    <row r="11" spans="1:18" ht="18.75" x14ac:dyDescent="0.3">
      <c r="B11" s="1">
        <v>80000</v>
      </c>
      <c r="C11" s="43">
        <v>0.2</v>
      </c>
      <c r="H11" s="14"/>
      <c r="I11" s="14"/>
      <c r="J11" s="14"/>
    </row>
    <row r="12" spans="1:18" ht="18.75" x14ac:dyDescent="0.3">
      <c r="H12" s="14"/>
      <c r="I12" s="14"/>
      <c r="J12" s="14"/>
    </row>
    <row r="13" spans="1:18" ht="18.75" x14ac:dyDescent="0.3">
      <c r="B13" s="45">
        <f>VLOOKUP(E6, B8:C11,2, TRUE)</f>
        <v>0.1</v>
      </c>
      <c r="C13" s="47" t="s">
        <v>67</v>
      </c>
      <c r="D13" s="47"/>
      <c r="E13" s="47"/>
      <c r="F13" s="47"/>
      <c r="G13" s="47"/>
      <c r="H13" s="14"/>
      <c r="I13" s="14"/>
      <c r="J13" s="14"/>
    </row>
    <row r="14" spans="1:18" ht="18.75" x14ac:dyDescent="0.3">
      <c r="H14" s="9"/>
      <c r="I14" s="9"/>
      <c r="J14" s="9"/>
    </row>
    <row r="15" spans="1:18" ht="18.75" x14ac:dyDescent="0.3">
      <c r="B15" s="14" t="s">
        <v>62</v>
      </c>
      <c r="C15" s="14"/>
      <c r="D15" s="14"/>
      <c r="E15" s="14"/>
      <c r="F15" s="14"/>
      <c r="G15" s="14"/>
      <c r="H15" s="51"/>
      <c r="I15" s="51"/>
      <c r="J15" s="9"/>
      <c r="K15" s="9"/>
    </row>
    <row r="16" spans="1:18" ht="18.75" x14ac:dyDescent="0.3">
      <c r="B16" s="14" t="s">
        <v>63</v>
      </c>
      <c r="C16" s="14"/>
      <c r="D16" s="14"/>
      <c r="E16" s="14"/>
      <c r="F16" s="14"/>
      <c r="G16" s="14"/>
      <c r="K16" s="9"/>
    </row>
    <row r="17" spans="2:11" ht="18.75" x14ac:dyDescent="0.3">
      <c r="B17" s="14" t="s">
        <v>64</v>
      </c>
      <c r="C17" s="14"/>
      <c r="D17" s="14"/>
      <c r="E17" s="14"/>
      <c r="F17" s="14"/>
      <c r="G17" s="14"/>
      <c r="K17" s="9"/>
    </row>
    <row r="18" spans="2:11" ht="18.75" x14ac:dyDescent="0.3">
      <c r="B18" s="14" t="s">
        <v>65</v>
      </c>
      <c r="C18" s="14"/>
      <c r="D18" s="14"/>
      <c r="E18" s="14"/>
      <c r="F18" s="14"/>
      <c r="G18" s="14"/>
      <c r="K18" s="9"/>
    </row>
    <row r="19" spans="2:11" ht="18.75" x14ac:dyDescent="0.3">
      <c r="B19" s="9"/>
      <c r="C19" s="9"/>
      <c r="D19" s="9"/>
      <c r="E19" s="9"/>
      <c r="F19" s="9"/>
      <c r="G19" s="9"/>
      <c r="K19" s="9"/>
    </row>
    <row r="20" spans="2:11" ht="18.75" x14ac:dyDescent="0.3">
      <c r="B20" s="46" t="s">
        <v>66</v>
      </c>
      <c r="C20" s="46"/>
      <c r="D20" s="46"/>
      <c r="E20" s="46"/>
      <c r="F20" s="46"/>
      <c r="G20" s="46"/>
      <c r="H20" s="50"/>
      <c r="I20" s="50"/>
      <c r="K2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8D24-E943-4B0B-A73A-217D2F1DBED2}">
  <dimension ref="A2:F16"/>
  <sheetViews>
    <sheetView workbookViewId="0">
      <selection activeCell="G9" sqref="G9"/>
    </sheetView>
  </sheetViews>
  <sheetFormatPr defaultRowHeight="15" x14ac:dyDescent="0.25"/>
  <cols>
    <col min="2" max="3" width="21.140625" customWidth="1"/>
    <col min="4" max="4" width="17.85546875" customWidth="1"/>
    <col min="5" max="5" width="23.28515625" customWidth="1"/>
    <col min="6" max="6" width="20.28515625" customWidth="1"/>
  </cols>
  <sheetData>
    <row r="2" spans="1:6" ht="18.75" x14ac:dyDescent="0.3">
      <c r="B2" s="15" t="s">
        <v>78</v>
      </c>
      <c r="C2" s="15"/>
      <c r="D2" s="15"/>
      <c r="E2" s="15"/>
      <c r="F2" s="16"/>
    </row>
    <row r="3" spans="1:6" ht="15.75" thickBot="1" x14ac:dyDescent="0.3"/>
    <row r="4" spans="1:6" ht="30.75" thickBot="1" x14ac:dyDescent="0.3">
      <c r="B4" s="69" t="s">
        <v>79</v>
      </c>
      <c r="C4" s="69" t="s">
        <v>80</v>
      </c>
      <c r="D4" s="69" t="s">
        <v>81</v>
      </c>
    </row>
    <row r="5" spans="1:6" x14ac:dyDescent="0.25">
      <c r="B5" s="61" t="s">
        <v>82</v>
      </c>
      <c r="C5" s="61">
        <v>10</v>
      </c>
      <c r="D5" s="61">
        <v>12</v>
      </c>
    </row>
    <row r="6" spans="1:6" x14ac:dyDescent="0.25">
      <c r="B6" s="60" t="s">
        <v>83</v>
      </c>
      <c r="C6" s="60">
        <v>10</v>
      </c>
      <c r="D6" s="60">
        <v>15</v>
      </c>
    </row>
    <row r="7" spans="1:6" x14ac:dyDescent="0.25">
      <c r="B7" s="60" t="s">
        <v>84</v>
      </c>
      <c r="C7" s="60">
        <v>8</v>
      </c>
      <c r="D7" s="60">
        <v>12</v>
      </c>
    </row>
    <row r="9" spans="1:6" ht="18.75" x14ac:dyDescent="0.3">
      <c r="A9" s="9" t="s">
        <v>42</v>
      </c>
    </row>
    <row r="10" spans="1:6" ht="18.75" x14ac:dyDescent="0.3">
      <c r="A10" s="67" t="s">
        <v>86</v>
      </c>
      <c r="B10" s="67"/>
      <c r="C10" s="67"/>
      <c r="D10" s="68"/>
    </row>
    <row r="11" spans="1:6" ht="18.75" x14ac:dyDescent="0.3">
      <c r="A11" s="67" t="s">
        <v>87</v>
      </c>
      <c r="B11" s="67"/>
      <c r="C11" s="67"/>
      <c r="D11" s="68"/>
    </row>
    <row r="12" spans="1:6" ht="15.75" thickBot="1" x14ac:dyDescent="0.3"/>
    <row r="13" spans="1:6" ht="38.25" thickBot="1" x14ac:dyDescent="0.3">
      <c r="C13" s="63" t="s">
        <v>79</v>
      </c>
      <c r="D13" s="63" t="s">
        <v>80</v>
      </c>
      <c r="E13" s="63" t="s">
        <v>81</v>
      </c>
      <c r="F13" s="63" t="s">
        <v>85</v>
      </c>
    </row>
    <row r="14" spans="1:6" ht="18.75" x14ac:dyDescent="0.25">
      <c r="C14" s="65" t="s">
        <v>82</v>
      </c>
      <c r="D14" s="65">
        <v>10</v>
      </c>
      <c r="E14" s="65">
        <v>12</v>
      </c>
      <c r="F14" s="64" t="str">
        <f>IF(D14&gt;E14,"Exceeded","OK")</f>
        <v>OK</v>
      </c>
    </row>
    <row r="15" spans="1:6" ht="18.75" x14ac:dyDescent="0.25">
      <c r="C15" s="66" t="s">
        <v>83</v>
      </c>
      <c r="D15" s="66">
        <v>10</v>
      </c>
      <c r="E15" s="66">
        <v>15</v>
      </c>
      <c r="F15" s="64" t="str">
        <f t="shared" ref="F15:F16" si="0">IF(D15&gt;E15,"Exceeded","OK")</f>
        <v>OK</v>
      </c>
    </row>
    <row r="16" spans="1:6" ht="18.75" x14ac:dyDescent="0.25">
      <c r="C16" s="66" t="s">
        <v>84</v>
      </c>
      <c r="D16" s="66">
        <v>8</v>
      </c>
      <c r="E16" s="66">
        <v>12</v>
      </c>
      <c r="F16" s="64" t="str">
        <f t="shared" si="0"/>
        <v>OK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B70B-D124-4C25-8487-6A1727FB8F72}">
  <dimension ref="A2:I14"/>
  <sheetViews>
    <sheetView workbookViewId="0">
      <selection activeCell="H8" sqref="H8"/>
    </sheetView>
  </sheetViews>
  <sheetFormatPr defaultRowHeight="15" x14ac:dyDescent="0.25"/>
  <sheetData>
    <row r="2" spans="1:9" ht="18.75" x14ac:dyDescent="0.3">
      <c r="B2" s="15" t="s">
        <v>88</v>
      </c>
      <c r="C2" s="15"/>
      <c r="D2" s="15"/>
      <c r="E2" s="15"/>
      <c r="F2" s="15"/>
      <c r="G2" s="15"/>
      <c r="H2" s="15"/>
      <c r="I2" s="59"/>
    </row>
    <row r="4" spans="1:9" ht="18.75" x14ac:dyDescent="0.3">
      <c r="B4" s="31" t="s">
        <v>28</v>
      </c>
      <c r="C4" s="31" t="s">
        <v>89</v>
      </c>
    </row>
    <row r="5" spans="1:9" ht="18.75" x14ac:dyDescent="0.3">
      <c r="B5" s="22" t="s">
        <v>38</v>
      </c>
      <c r="C5" s="70">
        <v>55000</v>
      </c>
    </row>
    <row r="6" spans="1:9" ht="18.75" x14ac:dyDescent="0.3">
      <c r="B6" s="29" t="s">
        <v>90</v>
      </c>
      <c r="C6" s="71">
        <v>72000</v>
      </c>
    </row>
    <row r="7" spans="1:9" ht="18.75" x14ac:dyDescent="0.3">
      <c r="B7" s="22" t="s">
        <v>91</v>
      </c>
      <c r="C7" s="70">
        <v>62000</v>
      </c>
    </row>
    <row r="8" spans="1:9" ht="18.75" x14ac:dyDescent="0.3">
      <c r="B8" s="22" t="s">
        <v>33</v>
      </c>
      <c r="C8" s="70">
        <v>41000</v>
      </c>
    </row>
    <row r="10" spans="1:9" ht="18.75" x14ac:dyDescent="0.3">
      <c r="A10" s="9" t="s">
        <v>42</v>
      </c>
      <c r="B10" s="78" t="s">
        <v>95</v>
      </c>
      <c r="C10" s="78"/>
      <c r="D10" s="78"/>
      <c r="E10" s="79"/>
      <c r="G10" s="27">
        <f>INDEX(C5:C8, MATCH("E105", B5:B8, 0))</f>
        <v>72000</v>
      </c>
    </row>
    <row r="12" spans="1:9" ht="18.75" x14ac:dyDescent="0.3">
      <c r="B12" s="72" t="s">
        <v>92</v>
      </c>
      <c r="C12" s="72"/>
      <c r="D12" s="72"/>
      <c r="E12" s="72"/>
      <c r="F12" s="72"/>
      <c r="G12" s="73"/>
    </row>
    <row r="13" spans="1:9" ht="18.75" x14ac:dyDescent="0.3">
      <c r="B13" s="72" t="s">
        <v>93</v>
      </c>
      <c r="C13" s="72"/>
      <c r="D13" s="72"/>
      <c r="E13" s="72"/>
      <c r="F13" s="72"/>
      <c r="G13" s="73"/>
    </row>
    <row r="14" spans="1:9" ht="18.75" x14ac:dyDescent="0.3">
      <c r="B14" s="72" t="s">
        <v>94</v>
      </c>
      <c r="C14" s="72"/>
      <c r="D14" s="72"/>
      <c r="E14" s="72"/>
      <c r="F14" s="72"/>
      <c r="G14" s="7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795C-0FD5-4909-92ED-F13A64F4F16D}">
  <dimension ref="A2:K14"/>
  <sheetViews>
    <sheetView tabSelected="1" workbookViewId="0">
      <selection activeCell="H10" sqref="H10"/>
    </sheetView>
  </sheetViews>
  <sheetFormatPr defaultRowHeight="15" x14ac:dyDescent="0.25"/>
  <cols>
    <col min="2" max="2" width="16.42578125" customWidth="1"/>
    <col min="3" max="3" width="18.28515625" customWidth="1"/>
  </cols>
  <sheetData>
    <row r="2" spans="1:11" ht="18.75" x14ac:dyDescent="0.3">
      <c r="B2" s="15" t="s">
        <v>96</v>
      </c>
      <c r="C2" s="15"/>
      <c r="D2" s="15"/>
      <c r="E2" s="15"/>
      <c r="F2" s="15"/>
      <c r="G2" s="15"/>
      <c r="H2" s="15"/>
      <c r="I2" s="59"/>
      <c r="J2" s="59"/>
      <c r="K2" s="59"/>
    </row>
    <row r="4" spans="1:11" ht="19.5" customHeight="1" x14ac:dyDescent="0.25">
      <c r="B4" s="75" t="s">
        <v>28</v>
      </c>
      <c r="C4" s="75" t="s">
        <v>30</v>
      </c>
    </row>
    <row r="5" spans="1:11" ht="18.75" x14ac:dyDescent="0.25">
      <c r="B5" s="62" t="s">
        <v>31</v>
      </c>
      <c r="C5" s="62" t="s">
        <v>34</v>
      </c>
    </row>
    <row r="6" spans="1:11" ht="18.75" x14ac:dyDescent="0.25">
      <c r="B6" s="74" t="s">
        <v>97</v>
      </c>
      <c r="C6" s="74" t="s">
        <v>32</v>
      </c>
    </row>
    <row r="7" spans="1:11" ht="18.75" x14ac:dyDescent="0.25">
      <c r="B7" s="62" t="s">
        <v>91</v>
      </c>
      <c r="C7" s="62" t="s">
        <v>40</v>
      </c>
    </row>
    <row r="8" spans="1:11" ht="18.75" x14ac:dyDescent="0.25">
      <c r="B8" s="62" t="s">
        <v>98</v>
      </c>
      <c r="C8" s="62" t="s">
        <v>37</v>
      </c>
    </row>
    <row r="10" spans="1:11" ht="18.75" x14ac:dyDescent="0.3">
      <c r="A10" s="9" t="s">
        <v>42</v>
      </c>
      <c r="B10" s="78" t="s">
        <v>99</v>
      </c>
      <c r="C10" s="78"/>
      <c r="D10" s="78"/>
      <c r="E10" s="78"/>
      <c r="F10" s="78"/>
      <c r="H10" s="27" t="str">
        <f>_xlfn.XLOOKUP("E303", B5:B8,C5:C8)</f>
        <v>IT</v>
      </c>
    </row>
    <row r="12" spans="1:11" ht="18.75" x14ac:dyDescent="0.3">
      <c r="B12" s="72" t="s">
        <v>100</v>
      </c>
      <c r="C12" s="72"/>
      <c r="D12" s="72"/>
      <c r="E12" s="72"/>
      <c r="F12" s="72"/>
      <c r="G12" s="72"/>
      <c r="H12" s="72"/>
      <c r="I12" s="76"/>
      <c r="J12" s="76"/>
    </row>
    <row r="13" spans="1:11" ht="18.75" x14ac:dyDescent="0.3">
      <c r="B13" s="72" t="s">
        <v>102</v>
      </c>
      <c r="C13" s="72"/>
      <c r="D13" s="72"/>
      <c r="E13" s="72"/>
      <c r="F13" s="72"/>
      <c r="G13" s="72"/>
      <c r="H13" s="72"/>
      <c r="I13" s="76"/>
      <c r="J13" s="76"/>
    </row>
    <row r="14" spans="1:11" ht="18.75" x14ac:dyDescent="0.3">
      <c r="B14" s="77" t="s">
        <v>101</v>
      </c>
      <c r="C14" s="72"/>
      <c r="D14" s="72"/>
      <c r="E14" s="72"/>
      <c r="F14" s="72"/>
      <c r="G14" s="72"/>
      <c r="H14" s="72"/>
      <c r="I14" s="76"/>
      <c r="J14" s="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barick</dc:creator>
  <cp:lastModifiedBy>snipershot1126@gmail.com</cp:lastModifiedBy>
  <dcterms:created xsi:type="dcterms:W3CDTF">2025-12-15T06:22:37Z</dcterms:created>
  <dcterms:modified xsi:type="dcterms:W3CDTF">2025-12-15T18:18:59Z</dcterms:modified>
</cp:coreProperties>
</file>