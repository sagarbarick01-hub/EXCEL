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11" r:id="rId8"/>
  </sheets>
  <calcPr calcId="144525"/>
  <pivotCaches>
    <pivotCache cacheId="11" r:id="rId9"/>
  </pivotCaches>
</workbook>
</file>

<file path=xl/calcChain.xml><?xml version="1.0" encoding="utf-8"?>
<calcChain xmlns="http://schemas.openxmlformats.org/spreadsheetml/2006/main">
  <c r="H22" i="7" l="1"/>
  <c r="H40" i="7"/>
  <c r="H46" i="7"/>
  <c r="H48" i="7"/>
  <c r="H49" i="7"/>
  <c r="H53" i="7"/>
  <c r="H54" i="7"/>
  <c r="H52" i="7"/>
  <c r="H51" i="7"/>
  <c r="H50" i="7"/>
  <c r="H47" i="7"/>
  <c r="H45" i="7"/>
  <c r="H44" i="7"/>
  <c r="H43" i="7"/>
  <c r="H42" i="7"/>
  <c r="H41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M10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L12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6" i="5"/>
  <c r="J7" i="4"/>
  <c r="F18" i="3"/>
  <c r="F21" i="2"/>
  <c r="H11" i="2"/>
</calcChain>
</file>

<file path=xl/sharedStrings.xml><?xml version="1.0" encoding="utf-8"?>
<sst xmlns="http://schemas.openxmlformats.org/spreadsheetml/2006/main" count="697" uniqueCount="124">
  <si>
    <r>
      <t xml:space="preserve">                                               </t>
    </r>
    <r>
      <rPr>
        <sz val="26"/>
        <color theme="1"/>
        <rFont val="Arial Black"/>
        <family val="2"/>
      </rPr>
      <t xml:space="preserve"> </t>
    </r>
    <r>
      <rPr>
        <sz val="26"/>
        <color rgb="FFFF0000"/>
        <rFont val="Arial Black"/>
        <family val="2"/>
      </rPr>
      <t xml:space="preserve">ASSIGNMENT </t>
    </r>
  </si>
  <si>
    <t>QUESTIONS :-</t>
  </si>
  <si>
    <t>1. Explain the difference between Relative , Absolute and Mixed Cell Referencing.</t>
  </si>
  <si>
    <t>Sol :</t>
  </si>
  <si>
    <t xml:space="preserve">a)  RELATIVE CELL REFERENCE :- </t>
  </si>
  <si>
    <t xml:space="preserve">The cell in which the default cell reference that  changes automatically and adjusts itself when the formula is copied to other cells , its based on the relative position </t>
  </si>
  <si>
    <t>If =A1+B1 the formula is copied from the cell of C1 to C2 will automatically change or adjust the formula to =A2+B2</t>
  </si>
  <si>
    <t xml:space="preserve">b) ABSOLUTE CELL REFERENCE :- </t>
  </si>
  <si>
    <t>of the cell in the formula .</t>
  </si>
  <si>
    <t>The cell reference , the formula that keeps a cells reference constant / fixed even when its copied to another cell .</t>
  </si>
  <si>
    <r>
      <t>This is achived by placing a</t>
    </r>
    <r>
      <rPr>
        <b/>
        <sz val="11"/>
        <color theme="1"/>
        <rFont val="Calibri"/>
        <family val="2"/>
        <scheme val="minor"/>
      </rPr>
      <t xml:space="preserve"> dollar sign ($)</t>
    </r>
    <r>
      <rPr>
        <sz val="11"/>
        <color theme="1"/>
        <rFont val="Calibri"/>
        <family val="2"/>
        <scheme val="minor"/>
      </rPr>
      <t xml:space="preserve"> before the column letter or the row number such as $A$1. This ensures that the column and row to be fixed or locked </t>
    </r>
  </si>
  <si>
    <t>c) MIXED CELL REFERENCE :-</t>
  </si>
  <si>
    <t>The combination of ABSOLUTE REFERENCE &amp; RELATIVE REFERENCE which uses a dollar sign before or either the column letter or row number but not for both is know as</t>
  </si>
  <si>
    <t xml:space="preserve">mixed cell referencing. </t>
  </si>
  <si>
    <t xml:space="preserve"> </t>
  </si>
  <si>
    <t xml:space="preserve">$A1 fixes the column to only A but allows the row to change , while A$1 fixes the row to 1 but allows the column to change. </t>
  </si>
  <si>
    <t xml:space="preserve">This is normally very useful for the formulas where we need to lock one part of the referencing while allowing other part to adjust.  </t>
  </si>
  <si>
    <r>
      <t xml:space="preserve">                                                                    </t>
    </r>
    <r>
      <rPr>
        <sz val="20"/>
        <color rgb="FF0070C0"/>
        <rFont val="Arial Rounded MT Bold"/>
        <family val="2"/>
      </rPr>
      <t>BASIC OF EXCEL</t>
    </r>
    <r>
      <rPr>
        <sz val="20"/>
        <color rgb="FF0070C0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</si>
  <si>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For an example :-</t>
    </r>
    <r>
      <rPr>
        <sz val="11"/>
        <color theme="1"/>
        <rFont val="Calibri"/>
        <family val="2"/>
        <scheme val="minor"/>
      </rPr>
      <t xml:space="preserve"> </t>
    </r>
  </si>
  <si>
    <t xml:space="preserve">2.  Write a formula to calculate the total Price of Car and Bicycle only. </t>
  </si>
  <si>
    <t>VEHICLE</t>
  </si>
  <si>
    <t>PRICE</t>
  </si>
  <si>
    <t>Car</t>
  </si>
  <si>
    <t>Bicycle</t>
  </si>
  <si>
    <t>Auto-Rickshaw</t>
  </si>
  <si>
    <t xml:space="preserve">Solution :- </t>
  </si>
  <si>
    <t>CAR = 500000</t>
  </si>
  <si>
    <t xml:space="preserve">BICYCLE = 10500 </t>
  </si>
  <si>
    <t>Formula  =SUM(</t>
  </si>
  <si>
    <t>SUM(G11:G12)</t>
  </si>
  <si>
    <t>12)</t>
  </si>
  <si>
    <t>3. Using the data below, write a formula to calculate the average sales of items priced above 100 but less than 300</t>
  </si>
  <si>
    <t xml:space="preserve">ITEM </t>
  </si>
  <si>
    <t xml:space="preserve">PRICE </t>
  </si>
  <si>
    <t xml:space="preserve">SALES </t>
  </si>
  <si>
    <t xml:space="preserve">item A </t>
  </si>
  <si>
    <t>item B</t>
  </si>
  <si>
    <t xml:space="preserve">item C </t>
  </si>
  <si>
    <t>Solution :-</t>
  </si>
  <si>
    <t xml:space="preserve">The average sales of items priced above 100 but less than 300 </t>
  </si>
  <si>
    <t>FORMULA TO CALCULATE THE AVERAGE SALES : =AVERAGEIFS(G9:G11,F9:F11,"&gt;100",F9:F11,"&lt;300")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</si>
  <si>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</si>
  <si>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</si>
  <si>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</si>
  <si>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</si>
  <si>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</si>
  <si>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</si>
  <si>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</si>
  <si>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</si>
  <si>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</si>
  <si>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</si>
  <si>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</si>
  <si>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</si>
  <si>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</si>
  <si>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</si>
  <si>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</si>
  <si>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</si>
  <si>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</si>
  <si>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</si>
  <si>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</si>
  <si>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</si>
  <si>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</si>
  <si>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</si>
  <si>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</si>
  <si>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</si>
  <si>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</si>
  <si>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</si>
  <si>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</si>
  <si>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</si>
  <si>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</si>
  <si>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</si>
  <si>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</si>
  <si>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</si>
  <si>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</si>
  <si>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</si>
  <si>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</si>
  <si>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</si>
  <si>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</si>
  <si>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</si>
  <si>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</si>
  <si>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</si>
  <si>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</si>
  <si>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</si>
  <si>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</si>
  <si>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</si>
  <si>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</si>
  <si>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</si>
  <si>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</si>
  <si>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</si>
  <si>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</si>
  <si>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</si>
  <si>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</si>
  <si>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</si>
  <si>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</si>
  <si>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</si>
  <si>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</si>
  <si>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</si>
  <si>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</si>
  <si>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</si>
  <si>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</si>
  <si>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</si>
  <si>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</si>
  <si>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</si>
  <si>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</si>
  <si>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</si>
  <si>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</si>
  <si>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</si>
  <si>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 Count how many customer name are recorded</t>
  </si>
  <si>
    <t xml:space="preserve">Solution </t>
  </si>
  <si>
    <t xml:space="preserve">COUNT A = COUNTS NON BLANK CELLS </t>
  </si>
  <si>
    <t xml:space="preserve">HAVE BEEN RECOREDED </t>
  </si>
  <si>
    <t>CUSTOMER NAMES HAVE BEEN RECORDED</t>
  </si>
  <si>
    <t>5. Calculate the Total Sales for each row using a formula.</t>
  </si>
  <si>
    <t>SALES</t>
  </si>
  <si>
    <t xml:space="preserve">SUMPRODUCT </t>
  </si>
  <si>
    <t>6. Calculate the total sales of Notebooks in the North region only</t>
  </si>
  <si>
    <t>SOLUTION =</t>
  </si>
  <si>
    <t>SUMIFS(H6:H55,D6:D55,"Notebook",C6:C55,"North")</t>
  </si>
  <si>
    <t>FORMULA:-</t>
  </si>
  <si>
    <t>7. Create a column chart showing total sales by product</t>
  </si>
  <si>
    <t>Row Labels</t>
  </si>
  <si>
    <t>Grand Total</t>
  </si>
  <si>
    <t>Sum of SALES</t>
  </si>
  <si>
    <r>
      <rPr>
        <sz val="14"/>
        <color theme="1"/>
        <rFont val="Calibri"/>
        <family val="2"/>
        <scheme val="minor"/>
      </rPr>
      <t>8. Insert a line chart showing daily sales trend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</si>
</sst>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theme="1"/>
      <name val="Arial Black"/>
      <family val="2"/>
    </font>
    <font>
      <sz val="20"/>
      <color rgb="FF0070C0"/>
      <name val="Arial Rounded MT Bold"/>
      <family val="2"/>
    </font>
    <font>
      <sz val="20"/>
      <color rgb="FF0070C0"/>
      <name val="Calibri"/>
      <family val="2"/>
      <scheme val="minor"/>
    </font>
    <font>
      <sz val="26"/>
      <color rgb="FFFF0000"/>
      <name val="Arial Black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Lucida Fax"/>
      <family val="1"/>
    </font>
    <font>
      <sz val="14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2"/>
      <color theme="1" tint="4.9989318521683403E-2"/>
      <name val="Arial Rounded MT Bold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0" fillId="2" borderId="0" xfId="0" applyFill="1"/>
    <xf numFmtId="0" fontId="0" fillId="3" borderId="0" xfId="0" applyFill="1"/>
    <xf numFmtId="0" fontId="12" fillId="4" borderId="0" xfId="0" applyFont="1" applyFill="1"/>
    <xf numFmtId="0" fontId="12" fillId="5" borderId="0" xfId="0" applyFont="1" applyFill="1"/>
    <xf numFmtId="0" fontId="0" fillId="5" borderId="0" xfId="0" applyFill="1"/>
    <xf numFmtId="0" fontId="0" fillId="6" borderId="0" xfId="0" applyFill="1"/>
    <xf numFmtId="0" fontId="10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0" borderId="1" xfId="0" applyFont="1" applyBorder="1"/>
    <xf numFmtId="0" fontId="3" fillId="8" borderId="0" xfId="0" applyFont="1" applyFill="1"/>
    <xf numFmtId="0" fontId="10" fillId="4" borderId="0" xfId="0" applyFont="1" applyFill="1"/>
    <xf numFmtId="0" fontId="0" fillId="4" borderId="0" xfId="0" applyFill="1"/>
    <xf numFmtId="0" fontId="0" fillId="4" borderId="0" xfId="0" applyFill="1" applyAlignment="1">
      <alignment wrapText="1"/>
    </xf>
    <xf numFmtId="0" fontId="13" fillId="3" borderId="0" xfId="0" applyFont="1" applyFill="1"/>
    <xf numFmtId="0" fontId="15" fillId="0" borderId="0" xfId="0" applyFont="1"/>
    <xf numFmtId="0" fontId="14" fillId="0" borderId="0" xfId="0" applyFont="1"/>
    <xf numFmtId="0" fontId="12" fillId="3" borderId="0" xfId="0" applyFont="1" applyFill="1"/>
    <xf numFmtId="0" fontId="9" fillId="3" borderId="0" xfId="0" applyFont="1" applyFill="1"/>
    <xf numFmtId="0" fontId="1" fillId="7" borderId="0" xfId="0" applyFont="1" applyFill="1"/>
    <xf numFmtId="14" fontId="0" fillId="0" borderId="1" xfId="0" applyNumberFormat="1" applyBorder="1"/>
    <xf numFmtId="0" fontId="0" fillId="0" borderId="1" xfId="0" applyFill="1" applyBorder="1"/>
    <xf numFmtId="14" fontId="0" fillId="0" borderId="2" xfId="0" applyNumberFormat="1" applyBorder="1"/>
    <xf numFmtId="0" fontId="0" fillId="2" borderId="0" xfId="0" applyFont="1" applyFill="1" applyBorder="1"/>
    <xf numFmtId="0" fontId="0" fillId="3" borderId="0" xfId="0" applyFill="1" applyBorder="1"/>
    <xf numFmtId="0" fontId="0" fillId="0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[excelbasics(assignment 1).xlsx]Q7!PivotTable3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rgbClr val="002060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'Q7'!$M$6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b="1">
                    <a:solidFill>
                      <a:srgbClr val="00206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'Q7'!$L$7:$L$12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'Q7'!$M$7:$M$12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62130560"/>
        <c:axId val="202613504"/>
        <c:axId val="0"/>
      </c:bar3DChart>
      <c:catAx>
        <c:axId val="1621305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2613504"/>
        <c:crosses val="autoZero"/>
        <c:auto val="1"/>
        <c:lblAlgn val="ctr"/>
        <c:lblOffset val="100"/>
        <c:noMultiLvlLbl val="0"/>
      </c:catAx>
      <c:valAx>
        <c:axId val="20261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130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[excelbasics(assignment 1).xlsx]Q8!PivotTable4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571062992125985"/>
          <c:y val="0.28174577136191309"/>
          <c:w val="0.68246369203849522"/>
          <c:h val="0.34646653543307088"/>
        </c:manualLayout>
      </c:layout>
      <c:lineChart>
        <c:grouping val="standard"/>
        <c:varyColors val="0"/>
        <c:ser>
          <c:idx val="0"/>
          <c:order val="0"/>
          <c:tx>
            <c:strRef>
              <c:f>'Q8'!$B$3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'Q8'!$A$4:$A$54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'Q8'!$B$4:$B$54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48768"/>
        <c:axId val="197650304"/>
      </c:lineChart>
      <c:catAx>
        <c:axId val="197648768"/>
        <c:scaling>
          <c:orientation val="minMax"/>
        </c:scaling>
        <c:delete val="0"/>
        <c:axPos val="b"/>
        <c:majorTickMark val="out"/>
        <c:minorTickMark val="none"/>
        <c:tickLblPos val="nextTo"/>
        <c:crossAx val="197650304"/>
        <c:crosses val="autoZero"/>
        <c:auto val="1"/>
        <c:lblAlgn val="ctr"/>
        <c:lblOffset val="100"/>
        <c:noMultiLvlLbl val="0"/>
      </c:catAx>
      <c:valAx>
        <c:axId val="19765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648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12</xdr:row>
      <xdr:rowOff>161925</xdr:rowOff>
    </xdr:from>
    <xdr:to>
      <xdr:col>16</xdr:col>
      <xdr:colOff>590550</xdr:colOff>
      <xdr:row>27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6</xdr:row>
      <xdr:rowOff>28575</xdr:rowOff>
    </xdr:from>
    <xdr:to>
      <xdr:col>12</xdr:col>
      <xdr:colOff>38100</xdr:colOff>
      <xdr:row>20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94.772171180557" createdVersion="4" refreshedVersion="4" minRefreshableVersion="3" recordCount="50">
  <cacheSource type="worksheet">
    <worksheetSource ref="A4:H54" sheet="Q7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</cacheField>
    <cacheField name="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s v="Amit Sharma"/>
    <s v="North"/>
    <x v="0"/>
    <n v="10"/>
    <n v="50"/>
    <x v="0"/>
    <n v="500"/>
  </r>
  <r>
    <n v="1002"/>
    <s v="Neha Verma"/>
    <s v="South"/>
    <x v="1"/>
    <n v="20"/>
    <n v="10"/>
    <x v="1"/>
    <n v="200"/>
  </r>
  <r>
    <n v="1003"/>
    <s v="Rahul Singh"/>
    <s v="East"/>
    <x v="2"/>
    <n v="15"/>
    <n v="25"/>
    <x v="2"/>
    <n v="375"/>
  </r>
  <r>
    <n v="1004"/>
    <s v="Pooja Mehta"/>
    <s v="West"/>
    <x v="0"/>
    <n v="5"/>
    <n v="50"/>
    <x v="3"/>
    <n v="250"/>
  </r>
  <r>
    <n v="1005"/>
    <s v="Ankit Jain"/>
    <s v="North"/>
    <x v="3"/>
    <n v="30"/>
    <n v="5"/>
    <x v="4"/>
    <n v="150"/>
  </r>
  <r>
    <n v="1006"/>
    <s v="Sneha Patel"/>
    <s v="South"/>
    <x v="0"/>
    <n v="12"/>
    <n v="50"/>
    <x v="5"/>
    <n v="600"/>
  </r>
  <r>
    <n v="1007"/>
    <s v="Vikas Gupta"/>
    <s v="East"/>
    <x v="4"/>
    <n v="25"/>
    <n v="8"/>
    <x v="6"/>
    <n v="200"/>
  </r>
  <r>
    <n v="1008"/>
    <s v="Meera Nair"/>
    <s v="West"/>
    <x v="1"/>
    <n v="18"/>
    <n v="10"/>
    <x v="7"/>
    <n v="180"/>
  </r>
  <r>
    <n v="1009"/>
    <s v="Anjali Rao"/>
    <s v="North"/>
    <x v="2"/>
    <n v="22"/>
    <n v="25"/>
    <x v="8"/>
    <n v="550"/>
  </r>
  <r>
    <n v="1010"/>
    <s v="Manoj Das"/>
    <s v="South"/>
    <x v="0"/>
    <n v="8"/>
    <n v="50"/>
    <x v="9"/>
    <n v="400"/>
  </r>
  <r>
    <n v="1011"/>
    <s v="Ritika Sen"/>
    <s v="East"/>
    <x v="3"/>
    <n v="40"/>
    <n v="5"/>
    <x v="10"/>
    <n v="200"/>
  </r>
  <r>
    <n v="1012"/>
    <s v="Karan Malhotra"/>
    <s v="West"/>
    <x v="4"/>
    <n v="35"/>
    <n v="8"/>
    <x v="11"/>
    <n v="280"/>
  </r>
  <r>
    <n v="1013"/>
    <s v="Aryan Joshi"/>
    <s v="North"/>
    <x v="0"/>
    <n v="14"/>
    <n v="50"/>
    <x v="12"/>
    <n v="700"/>
  </r>
  <r>
    <n v="1014"/>
    <s v="Divya Kapoor"/>
    <s v="South"/>
    <x v="1"/>
    <n v="28"/>
    <n v="10"/>
    <x v="13"/>
    <n v="280"/>
  </r>
  <r>
    <n v="1015"/>
    <s v="Sahil Arora"/>
    <s v="East"/>
    <x v="2"/>
    <n v="12"/>
    <n v="25"/>
    <x v="14"/>
    <n v="300"/>
  </r>
  <r>
    <n v="1016"/>
    <s v="Muskan Jain"/>
    <s v="West"/>
    <x v="3"/>
    <n v="25"/>
    <n v="5"/>
    <x v="15"/>
    <n v="125"/>
  </r>
  <r>
    <n v="1017"/>
    <s v="Rohan Gupta"/>
    <s v="North"/>
    <x v="4"/>
    <n v="20"/>
    <n v="8"/>
    <x v="16"/>
    <n v="160"/>
  </r>
  <r>
    <n v="1018"/>
    <s v="Nidhi Sharma"/>
    <s v="South"/>
    <x v="0"/>
    <n v="10"/>
    <n v="50"/>
    <x v="17"/>
    <n v="500"/>
  </r>
  <r>
    <n v="1019"/>
    <s v="Tarun Verma"/>
    <s v="East"/>
    <x v="1"/>
    <n v="15"/>
    <n v="10"/>
    <x v="18"/>
    <n v="150"/>
  </r>
  <r>
    <n v="1020"/>
    <s v="Simran Kaur"/>
    <s v="West"/>
    <x v="2"/>
    <n v="18"/>
    <n v="25"/>
    <x v="19"/>
    <n v="450"/>
  </r>
  <r>
    <n v="1021"/>
    <s v="Deepak Rao"/>
    <s v="North"/>
    <x v="0"/>
    <n v="9"/>
    <n v="50"/>
    <x v="20"/>
    <n v="450"/>
  </r>
  <r>
    <n v="1022"/>
    <s v="Payal Mehta"/>
    <s v="South"/>
    <x v="3"/>
    <n v="35"/>
    <n v="5"/>
    <x v="21"/>
    <n v="175"/>
  </r>
  <r>
    <n v="1023"/>
    <s v="Aditya Singh"/>
    <s v="East"/>
    <x v="4"/>
    <n v="30"/>
    <n v="8"/>
    <x v="22"/>
    <n v="240"/>
  </r>
  <r>
    <n v="1024"/>
    <s v="Shreya Nair"/>
    <s v="West"/>
    <x v="0"/>
    <n v="11"/>
    <n v="50"/>
    <x v="23"/>
    <n v="550"/>
  </r>
  <r>
    <n v="1025"/>
    <s v="Sanjay Kumar"/>
    <s v="North"/>
    <x v="1"/>
    <n v="14"/>
    <n v="10"/>
    <x v="24"/>
    <n v="140"/>
  </r>
  <r>
    <n v="1026"/>
    <s v="Aarti Sharma"/>
    <s v="South"/>
    <x v="2"/>
    <n v="16"/>
    <n v="25"/>
    <x v="25"/>
    <n v="400"/>
  </r>
  <r>
    <n v="1027"/>
    <s v="Rajesh Patel"/>
    <s v="East"/>
    <x v="3"/>
    <n v="22"/>
    <n v="5"/>
    <x v="26"/>
    <n v="110"/>
  </r>
  <r>
    <n v="1028"/>
    <s v="Preeti Joshi"/>
    <s v="West"/>
    <x v="4"/>
    <n v="27"/>
    <n v="8"/>
    <x v="27"/>
    <n v="216"/>
  </r>
  <r>
    <n v="1029"/>
    <s v="Anurag Mishra"/>
    <s v="North"/>
    <x v="0"/>
    <n v="13"/>
    <n v="50"/>
    <x v="28"/>
    <n v="650"/>
  </r>
  <r>
    <n v="1030"/>
    <s v="Sanya Kapoor"/>
    <s v="South"/>
    <x v="1"/>
    <n v="32"/>
    <n v="10"/>
    <x v="29"/>
    <n v="320"/>
  </r>
  <r>
    <n v="1031"/>
    <s v="Harsh Yadav"/>
    <s v="East"/>
    <x v="2"/>
    <n v="10"/>
    <n v="25"/>
    <x v="30"/>
    <n v="250"/>
  </r>
  <r>
    <n v="1032"/>
    <s v="Kajal Rani"/>
    <s v="West"/>
    <x v="3"/>
    <n v="18"/>
    <n v="5"/>
    <x v="31"/>
    <n v="90"/>
  </r>
  <r>
    <n v="1033"/>
    <s v="Varun Sharma"/>
    <s v="North"/>
    <x v="4"/>
    <n v="22"/>
    <n v="8"/>
    <x v="32"/>
    <n v="176"/>
  </r>
  <r>
    <n v="1034"/>
    <s v="Swati Arora"/>
    <s v="South"/>
    <x v="0"/>
    <n v="17"/>
    <n v="50"/>
    <x v="33"/>
    <n v="850"/>
  </r>
  <r>
    <n v="1035"/>
    <s v="Akhil Jain"/>
    <s v="East"/>
    <x v="1"/>
    <n v="19"/>
    <n v="10"/>
    <x v="34"/>
    <n v="190"/>
  </r>
  <r>
    <n v="1036"/>
    <s v="Priyanka Das"/>
    <s v="West"/>
    <x v="2"/>
    <n v="15"/>
    <n v="25"/>
    <x v="35"/>
    <n v="375"/>
  </r>
  <r>
    <n v="1037"/>
    <s v="Ravi Nair"/>
    <s v="North"/>
    <x v="3"/>
    <n v="28"/>
    <n v="5"/>
    <x v="36"/>
    <n v="140"/>
  </r>
  <r>
    <n v="1038"/>
    <s v="Komal Singh"/>
    <s v="South"/>
    <x v="4"/>
    <n v="24"/>
    <n v="8"/>
    <x v="37"/>
    <n v="192"/>
  </r>
  <r>
    <n v="1039"/>
    <s v="Ayesha Khan"/>
    <s v="East"/>
    <x v="0"/>
    <n v="16"/>
    <n v="50"/>
    <x v="38"/>
    <n v="800"/>
  </r>
  <r>
    <n v="1040"/>
    <s v="Arjun Mehta"/>
    <s v="West"/>
    <x v="1"/>
    <n v="27"/>
    <n v="10"/>
    <x v="39"/>
    <n v="270"/>
  </r>
  <r>
    <n v="1041"/>
    <s v="Sonali Gupta"/>
    <s v="North"/>
    <x v="2"/>
    <n v="21"/>
    <n v="25"/>
    <x v="40"/>
    <n v="525"/>
  </r>
  <r>
    <n v="1042"/>
    <s v="Neeraj Kapoor"/>
    <s v="South"/>
    <x v="3"/>
    <n v="30"/>
    <n v="5"/>
    <x v="41"/>
    <n v="150"/>
  </r>
  <r>
    <n v="1043"/>
    <s v="Shruti Sharma"/>
    <s v="East"/>
    <x v="4"/>
    <n v="26"/>
    <n v="8"/>
    <x v="42"/>
    <n v="208"/>
  </r>
  <r>
    <n v="1044"/>
    <s v="Yash Arora"/>
    <s v="West"/>
    <x v="0"/>
    <n v="14"/>
    <n v="50"/>
    <x v="43"/>
    <n v="700"/>
  </r>
  <r>
    <n v="1045"/>
    <s v="Manish Das"/>
    <s v="North"/>
    <x v="1"/>
    <n v="20"/>
    <n v="10"/>
    <x v="44"/>
    <n v="200"/>
  </r>
  <r>
    <n v="1046"/>
    <s v="Rupal Nair"/>
    <s v="South"/>
    <x v="2"/>
    <n v="17"/>
    <n v="25"/>
    <x v="45"/>
    <n v="425"/>
  </r>
  <r>
    <n v="1047"/>
    <s v="Sonia Verma"/>
    <s v="East"/>
    <x v="3"/>
    <n v="19"/>
    <n v="5"/>
    <x v="46"/>
    <n v="95"/>
  </r>
  <r>
    <n v="1048"/>
    <s v="Kunal Singh"/>
    <s v="West"/>
    <x v="4"/>
    <n v="32"/>
    <n v="8"/>
    <x v="47"/>
    <n v="256"/>
  </r>
  <r>
    <n v="1049"/>
    <s v="Ritika Jain"/>
    <s v="North"/>
    <x v="0"/>
    <n v="12"/>
    <n v="50"/>
    <x v="48"/>
    <n v="600"/>
  </r>
  <r>
    <n v="1050"/>
    <s v="Vivek Malhotra"/>
    <s v="South"/>
    <x v="1"/>
    <n v="25"/>
    <n v="10"/>
    <x v="49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L6:M12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54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</pivotFields>
  <rowFields count="1">
    <field x="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abSelected="1" topLeftCell="A4" workbookViewId="0">
      <selection activeCell="A6" sqref="A6"/>
    </sheetView>
  </sheetViews>
  <sheetFormatPr defaultRowHeight="15" x14ac:dyDescent="0.25"/>
  <cols>
    <col min="1" max="1" width="146.7109375" customWidth="1"/>
  </cols>
  <sheetData>
    <row r="1" spans="1:1" ht="41.25" x14ac:dyDescent="0.8">
      <c r="A1" s="1" t="s">
        <v>0</v>
      </c>
    </row>
    <row r="2" spans="1:1" ht="26.25" x14ac:dyDescent="0.4">
      <c r="A2" s="2" t="s">
        <v>17</v>
      </c>
    </row>
    <row r="4" spans="1:1" ht="20.25" x14ac:dyDescent="0.3">
      <c r="A4" s="3" t="s">
        <v>1</v>
      </c>
    </row>
    <row r="6" spans="1:1" ht="18.75" x14ac:dyDescent="0.3">
      <c r="A6" s="8" t="s">
        <v>2</v>
      </c>
    </row>
    <row r="8" spans="1:1" x14ac:dyDescent="0.25">
      <c r="A8" s="12" t="s">
        <v>3</v>
      </c>
    </row>
    <row r="9" spans="1:1" ht="21" x14ac:dyDescent="0.35">
      <c r="A9" s="11" t="s">
        <v>4</v>
      </c>
    </row>
    <row r="10" spans="1:1" x14ac:dyDescent="0.25">
      <c r="A10" s="6" t="s">
        <v>5</v>
      </c>
    </row>
    <row r="11" spans="1:1" x14ac:dyDescent="0.25">
      <c r="A11" s="6" t="s">
        <v>8</v>
      </c>
    </row>
    <row r="13" spans="1:1" x14ac:dyDescent="0.25">
      <c r="A13" t="s">
        <v>18</v>
      </c>
    </row>
    <row r="14" spans="1:1" x14ac:dyDescent="0.25">
      <c r="A14" t="s">
        <v>6</v>
      </c>
    </row>
    <row r="16" spans="1:1" ht="21" x14ac:dyDescent="0.35">
      <c r="A16" s="11" t="s">
        <v>7</v>
      </c>
    </row>
    <row r="17" spans="1:1" x14ac:dyDescent="0.25">
      <c r="A17" s="6" t="s">
        <v>9</v>
      </c>
    </row>
    <row r="18" spans="1:1" x14ac:dyDescent="0.25">
      <c r="A18" s="6" t="s">
        <v>10</v>
      </c>
    </row>
    <row r="20" spans="1:1" ht="21" x14ac:dyDescent="0.35">
      <c r="A20" s="11" t="s">
        <v>11</v>
      </c>
    </row>
    <row r="21" spans="1:1" x14ac:dyDescent="0.25">
      <c r="A21" s="6" t="s">
        <v>12</v>
      </c>
    </row>
    <row r="22" spans="1:1" x14ac:dyDescent="0.25">
      <c r="A22" s="6" t="s">
        <v>13</v>
      </c>
    </row>
    <row r="23" spans="1:1" x14ac:dyDescent="0.25">
      <c r="A23" t="s">
        <v>14</v>
      </c>
    </row>
    <row r="24" spans="1:1" x14ac:dyDescent="0.25">
      <c r="A24" t="s">
        <v>18</v>
      </c>
    </row>
    <row r="25" spans="1:1" x14ac:dyDescent="0.25">
      <c r="A25" t="s">
        <v>15</v>
      </c>
    </row>
    <row r="26" spans="1:1" x14ac:dyDescent="0.25">
      <c r="A26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L21"/>
  <sheetViews>
    <sheetView workbookViewId="0">
      <selection activeCell="H18" sqref="H18"/>
    </sheetView>
  </sheetViews>
  <sheetFormatPr defaultRowHeight="15" x14ac:dyDescent="0.25"/>
  <cols>
    <col min="6" max="6" width="11.5703125" bestFit="1" customWidth="1"/>
  </cols>
  <sheetData>
    <row r="5" spans="4:12" ht="18.75" x14ac:dyDescent="0.3">
      <c r="D5" s="8" t="s">
        <v>19</v>
      </c>
      <c r="E5" s="9"/>
      <c r="F5" s="9"/>
      <c r="G5" s="9"/>
      <c r="H5" s="9"/>
      <c r="I5" s="9"/>
      <c r="J5" s="9"/>
      <c r="K5" s="9"/>
      <c r="L5" s="9"/>
    </row>
    <row r="10" spans="4:12" x14ac:dyDescent="0.25">
      <c r="F10" s="17" t="s">
        <v>20</v>
      </c>
      <c r="G10" s="17" t="s">
        <v>21</v>
      </c>
    </row>
    <row r="11" spans="4:12" x14ac:dyDescent="0.25">
      <c r="F11" s="13" t="s">
        <v>22</v>
      </c>
      <c r="G11" s="13">
        <v>500000</v>
      </c>
      <c r="H11" s="6">
        <f>SUM(G11:G12)</f>
        <v>510500</v>
      </c>
    </row>
    <row r="12" spans="4:12" x14ac:dyDescent="0.25">
      <c r="F12" s="13" t="s">
        <v>23</v>
      </c>
      <c r="G12" s="15">
        <v>10500</v>
      </c>
    </row>
    <row r="13" spans="4:12" x14ac:dyDescent="0.25">
      <c r="F13" s="14" t="s">
        <v>24</v>
      </c>
      <c r="G13" s="13">
        <v>25000</v>
      </c>
    </row>
    <row r="17" spans="3:6" x14ac:dyDescent="0.25">
      <c r="F17" s="12" t="s">
        <v>25</v>
      </c>
    </row>
    <row r="18" spans="3:6" x14ac:dyDescent="0.25">
      <c r="F18" s="16" t="s">
        <v>26</v>
      </c>
    </row>
    <row r="19" spans="3:6" x14ac:dyDescent="0.25">
      <c r="F19" t="s">
        <v>27</v>
      </c>
    </row>
    <row r="21" spans="3:6" ht="23.25" x14ac:dyDescent="0.35">
      <c r="C21" s="6" t="s">
        <v>28</v>
      </c>
      <c r="D21" s="6" t="s">
        <v>29</v>
      </c>
      <c r="E21" s="6" t="s">
        <v>30</v>
      </c>
      <c r="F21" s="18">
        <f>SUM(G11:G12)</f>
        <v>510500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20"/>
  <sheetViews>
    <sheetView workbookViewId="0">
      <selection activeCell="C14" sqref="C14"/>
    </sheetView>
  </sheetViews>
  <sheetFormatPr defaultRowHeight="15" x14ac:dyDescent="0.25"/>
  <sheetData>
    <row r="4" spans="2:18" ht="21" x14ac:dyDescent="0.35">
      <c r="B4" s="21"/>
      <c r="C4" s="19" t="s">
        <v>31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8" spans="2:18" x14ac:dyDescent="0.25">
      <c r="E8" s="13" t="s">
        <v>32</v>
      </c>
      <c r="F8" s="13" t="s">
        <v>33</v>
      </c>
      <c r="G8" s="13" t="s">
        <v>34</v>
      </c>
    </row>
    <row r="9" spans="2:18" x14ac:dyDescent="0.25">
      <c r="E9" s="13" t="s">
        <v>35</v>
      </c>
      <c r="F9" s="13">
        <v>90</v>
      </c>
      <c r="G9" s="13">
        <v>1000</v>
      </c>
    </row>
    <row r="10" spans="2:18" x14ac:dyDescent="0.25">
      <c r="E10" s="13" t="s">
        <v>36</v>
      </c>
      <c r="F10" s="13">
        <v>150</v>
      </c>
      <c r="G10" s="13">
        <v>1200</v>
      </c>
    </row>
    <row r="11" spans="2:18" x14ac:dyDescent="0.25">
      <c r="E11" s="13" t="s">
        <v>37</v>
      </c>
      <c r="F11" s="13">
        <v>250</v>
      </c>
      <c r="G11" s="13">
        <v>1500</v>
      </c>
    </row>
    <row r="14" spans="2:18" ht="18.75" x14ac:dyDescent="0.3">
      <c r="C14" s="24" t="s">
        <v>38</v>
      </c>
    </row>
    <row r="16" spans="2:18" ht="18.75" x14ac:dyDescent="0.3">
      <c r="C16" s="4" t="s">
        <v>39</v>
      </c>
    </row>
    <row r="18" spans="2:6" ht="18.75" x14ac:dyDescent="0.4">
      <c r="F18" s="22">
        <f>AVERAGEIFS(G9:G11,F9:F11,"&gt;100",F9:F11,"&lt;300")</f>
        <v>1350</v>
      </c>
    </row>
    <row r="20" spans="2:6" ht="15.75" x14ac:dyDescent="0.25">
      <c r="B20" s="23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5"/>
  <sheetViews>
    <sheetView workbookViewId="0">
      <selection activeCell="J2" sqref="J2"/>
    </sheetView>
  </sheetViews>
  <sheetFormatPr defaultRowHeight="15" x14ac:dyDescent="0.25"/>
  <cols>
    <col min="1" max="1" width="9.140625" customWidth="1"/>
    <col min="2" max="2" width="13.85546875" customWidth="1"/>
    <col min="4" max="6" width="9.140625" customWidth="1"/>
    <col min="7" max="7" width="18" customWidth="1"/>
  </cols>
  <sheetData>
    <row r="2" spans="1:15" ht="18.75" x14ac:dyDescent="0.3">
      <c r="D2" s="7" t="s">
        <v>107</v>
      </c>
      <c r="E2" s="20"/>
      <c r="F2" s="20"/>
      <c r="G2" s="20"/>
      <c r="H2" s="20"/>
    </row>
    <row r="5" spans="1:15" x14ac:dyDescent="0.25">
      <c r="A5" s="13" t="s">
        <v>41</v>
      </c>
      <c r="B5" s="13" t="s">
        <v>42</v>
      </c>
      <c r="C5" s="13" t="s">
        <v>43</v>
      </c>
      <c r="D5" s="13" t="s">
        <v>44</v>
      </c>
      <c r="E5" s="13" t="s">
        <v>45</v>
      </c>
      <c r="F5" s="13" t="s">
        <v>46</v>
      </c>
      <c r="G5" s="13" t="s">
        <v>47</v>
      </c>
    </row>
    <row r="6" spans="1:15" x14ac:dyDescent="0.25">
      <c r="A6" s="13">
        <v>1001</v>
      </c>
      <c r="B6" s="13" t="s">
        <v>48</v>
      </c>
      <c r="C6" s="13" t="s">
        <v>49</v>
      </c>
      <c r="D6" s="13" t="s">
        <v>50</v>
      </c>
      <c r="E6" s="13">
        <v>10</v>
      </c>
      <c r="F6" s="13">
        <v>50</v>
      </c>
      <c r="G6" s="28">
        <v>45296</v>
      </c>
    </row>
    <row r="7" spans="1:15" ht="18.75" x14ac:dyDescent="0.3">
      <c r="A7" s="13">
        <v>1002</v>
      </c>
      <c r="B7" s="13" t="s">
        <v>51</v>
      </c>
      <c r="C7" s="13" t="s">
        <v>52</v>
      </c>
      <c r="D7" s="13" t="s">
        <v>53</v>
      </c>
      <c r="E7" s="13">
        <v>20</v>
      </c>
      <c r="F7" s="13">
        <v>10</v>
      </c>
      <c r="G7" s="28">
        <v>45297</v>
      </c>
      <c r="I7" s="6" t="s">
        <v>108</v>
      </c>
      <c r="J7" s="25">
        <f>COUNTA(B6:B55)</f>
        <v>50</v>
      </c>
      <c r="K7" s="26" t="s">
        <v>111</v>
      </c>
      <c r="L7" s="26"/>
      <c r="M7" s="26" t="s">
        <v>110</v>
      </c>
      <c r="N7" s="6"/>
      <c r="O7" s="6"/>
    </row>
    <row r="8" spans="1:15" x14ac:dyDescent="0.25">
      <c r="A8" s="13">
        <v>1003</v>
      </c>
      <c r="B8" s="13" t="s">
        <v>54</v>
      </c>
      <c r="C8" s="13" t="s">
        <v>55</v>
      </c>
      <c r="D8" s="13" t="s">
        <v>56</v>
      </c>
      <c r="E8" s="13">
        <v>15</v>
      </c>
      <c r="F8" s="13">
        <v>25</v>
      </c>
      <c r="G8" s="28">
        <v>45298</v>
      </c>
    </row>
    <row r="9" spans="1:15" x14ac:dyDescent="0.25">
      <c r="A9" s="13">
        <v>1004</v>
      </c>
      <c r="B9" s="13" t="s">
        <v>57</v>
      </c>
      <c r="C9" s="13" t="s">
        <v>58</v>
      </c>
      <c r="D9" s="13" t="s">
        <v>50</v>
      </c>
      <c r="E9" s="13">
        <v>5</v>
      </c>
      <c r="F9" s="13">
        <v>50</v>
      </c>
      <c r="G9" s="28">
        <v>45299</v>
      </c>
    </row>
    <row r="10" spans="1:15" x14ac:dyDescent="0.25">
      <c r="A10" s="13">
        <v>1005</v>
      </c>
      <c r="B10" s="13" t="s">
        <v>59</v>
      </c>
      <c r="C10" s="13" t="s">
        <v>49</v>
      </c>
      <c r="D10" s="13" t="s">
        <v>60</v>
      </c>
      <c r="E10" s="13">
        <v>30</v>
      </c>
      <c r="F10" s="13">
        <v>5</v>
      </c>
      <c r="G10" s="28">
        <v>45301</v>
      </c>
      <c r="J10" s="27" t="s">
        <v>109</v>
      </c>
      <c r="K10" s="27"/>
      <c r="L10" s="27"/>
      <c r="M10" s="27"/>
    </row>
    <row r="11" spans="1:15" x14ac:dyDescent="0.25">
      <c r="A11" s="13">
        <v>1006</v>
      </c>
      <c r="B11" s="13" t="s">
        <v>61</v>
      </c>
      <c r="C11" s="13" t="s">
        <v>52</v>
      </c>
      <c r="D11" s="13" t="s">
        <v>50</v>
      </c>
      <c r="E11" s="13">
        <v>12</v>
      </c>
      <c r="F11" s="13">
        <v>50</v>
      </c>
      <c r="G11" s="28">
        <v>45302</v>
      </c>
    </row>
    <row r="12" spans="1:15" x14ac:dyDescent="0.25">
      <c r="A12" s="13">
        <v>1007</v>
      </c>
      <c r="B12" s="13" t="s">
        <v>62</v>
      </c>
      <c r="C12" s="13" t="s">
        <v>55</v>
      </c>
      <c r="D12" s="13" t="s">
        <v>63</v>
      </c>
      <c r="E12" s="13">
        <v>25</v>
      </c>
      <c r="F12" s="13">
        <v>8</v>
      </c>
      <c r="G12" s="28">
        <v>45304</v>
      </c>
    </row>
    <row r="13" spans="1:15" x14ac:dyDescent="0.25">
      <c r="A13" s="13">
        <v>1008</v>
      </c>
      <c r="B13" s="13" t="s">
        <v>64</v>
      </c>
      <c r="C13" s="13" t="s">
        <v>58</v>
      </c>
      <c r="D13" s="13" t="s">
        <v>53</v>
      </c>
      <c r="E13" s="13">
        <v>18</v>
      </c>
      <c r="F13" s="13">
        <v>10</v>
      </c>
      <c r="G13" s="28">
        <v>45306</v>
      </c>
    </row>
    <row r="14" spans="1:15" x14ac:dyDescent="0.25">
      <c r="A14" s="13">
        <v>1009</v>
      </c>
      <c r="B14" s="13" t="s">
        <v>65</v>
      </c>
      <c r="C14" s="13" t="s">
        <v>49</v>
      </c>
      <c r="D14" s="13" t="s">
        <v>56</v>
      </c>
      <c r="E14" s="13">
        <v>22</v>
      </c>
      <c r="F14" s="13">
        <v>25</v>
      </c>
      <c r="G14" s="28">
        <v>45308</v>
      </c>
    </row>
    <row r="15" spans="1:15" x14ac:dyDescent="0.25">
      <c r="A15" s="13">
        <v>1010</v>
      </c>
      <c r="B15" s="13" t="s">
        <v>66</v>
      </c>
      <c r="C15" s="13" t="s">
        <v>52</v>
      </c>
      <c r="D15" s="13" t="s">
        <v>50</v>
      </c>
      <c r="E15" s="13">
        <v>8</v>
      </c>
      <c r="F15" s="13">
        <v>50</v>
      </c>
      <c r="G15" s="28">
        <v>45309</v>
      </c>
    </row>
    <row r="16" spans="1:15" x14ac:dyDescent="0.25">
      <c r="A16" s="13">
        <v>1011</v>
      </c>
      <c r="B16" s="13" t="s">
        <v>67</v>
      </c>
      <c r="C16" s="13" t="s">
        <v>55</v>
      </c>
      <c r="D16" s="13" t="s">
        <v>60</v>
      </c>
      <c r="E16" s="13">
        <v>40</v>
      </c>
      <c r="F16" s="13">
        <v>5</v>
      </c>
      <c r="G16" s="28">
        <v>45310</v>
      </c>
    </row>
    <row r="17" spans="1:7" x14ac:dyDescent="0.25">
      <c r="A17" s="13">
        <v>1012</v>
      </c>
      <c r="B17" s="13" t="s">
        <v>68</v>
      </c>
      <c r="C17" s="13" t="s">
        <v>58</v>
      </c>
      <c r="D17" s="13" t="s">
        <v>63</v>
      </c>
      <c r="E17" s="13">
        <v>35</v>
      </c>
      <c r="F17" s="13">
        <v>8</v>
      </c>
      <c r="G17" s="28">
        <v>45311</v>
      </c>
    </row>
    <row r="18" spans="1:7" x14ac:dyDescent="0.25">
      <c r="A18" s="13">
        <v>1013</v>
      </c>
      <c r="B18" s="13" t="s">
        <v>69</v>
      </c>
      <c r="C18" s="13" t="s">
        <v>49</v>
      </c>
      <c r="D18" s="13" t="s">
        <v>50</v>
      </c>
      <c r="E18" s="13">
        <v>14</v>
      </c>
      <c r="F18" s="13">
        <v>50</v>
      </c>
      <c r="G18" s="28">
        <v>45313</v>
      </c>
    </row>
    <row r="19" spans="1:7" x14ac:dyDescent="0.25">
      <c r="A19" s="13">
        <v>1014</v>
      </c>
      <c r="B19" s="13" t="s">
        <v>70</v>
      </c>
      <c r="C19" s="13" t="s">
        <v>52</v>
      </c>
      <c r="D19" s="13" t="s">
        <v>53</v>
      </c>
      <c r="E19" s="13">
        <v>28</v>
      </c>
      <c r="F19" s="13">
        <v>10</v>
      </c>
      <c r="G19" s="28">
        <v>45314</v>
      </c>
    </row>
    <row r="20" spans="1:7" x14ac:dyDescent="0.25">
      <c r="A20" s="13">
        <v>1015</v>
      </c>
      <c r="B20" s="13" t="s">
        <v>71</v>
      </c>
      <c r="C20" s="13" t="s">
        <v>55</v>
      </c>
      <c r="D20" s="13" t="s">
        <v>56</v>
      </c>
      <c r="E20" s="13">
        <v>12</v>
      </c>
      <c r="F20" s="13">
        <v>25</v>
      </c>
      <c r="G20" s="28">
        <v>45315</v>
      </c>
    </row>
    <row r="21" spans="1:7" x14ac:dyDescent="0.25">
      <c r="A21" s="13">
        <v>1016</v>
      </c>
      <c r="B21" s="13" t="s">
        <v>72</v>
      </c>
      <c r="C21" s="13" t="s">
        <v>58</v>
      </c>
      <c r="D21" s="13" t="s">
        <v>60</v>
      </c>
      <c r="E21" s="13">
        <v>25</v>
      </c>
      <c r="F21" s="13">
        <v>5</v>
      </c>
      <c r="G21" s="28">
        <v>45317</v>
      </c>
    </row>
    <row r="22" spans="1:7" x14ac:dyDescent="0.25">
      <c r="A22" s="13">
        <v>1017</v>
      </c>
      <c r="B22" s="13" t="s">
        <v>73</v>
      </c>
      <c r="C22" s="13" t="s">
        <v>49</v>
      </c>
      <c r="D22" s="13" t="s">
        <v>63</v>
      </c>
      <c r="E22" s="13">
        <v>20</v>
      </c>
      <c r="F22" s="13">
        <v>8</v>
      </c>
      <c r="G22" s="28">
        <v>45319</v>
      </c>
    </row>
    <row r="23" spans="1:7" x14ac:dyDescent="0.25">
      <c r="A23" s="13">
        <v>1018</v>
      </c>
      <c r="B23" s="13" t="s">
        <v>74</v>
      </c>
      <c r="C23" s="13" t="s">
        <v>52</v>
      </c>
      <c r="D23" s="13" t="s">
        <v>50</v>
      </c>
      <c r="E23" s="13">
        <v>10</v>
      </c>
      <c r="F23" s="13">
        <v>50</v>
      </c>
      <c r="G23" s="28">
        <v>45320</v>
      </c>
    </row>
    <row r="24" spans="1:7" x14ac:dyDescent="0.25">
      <c r="A24" s="13">
        <v>1019</v>
      </c>
      <c r="B24" s="13" t="s">
        <v>75</v>
      </c>
      <c r="C24" s="13" t="s">
        <v>55</v>
      </c>
      <c r="D24" s="13" t="s">
        <v>53</v>
      </c>
      <c r="E24" s="13">
        <v>15</v>
      </c>
      <c r="F24" s="13">
        <v>10</v>
      </c>
      <c r="G24" s="28">
        <v>45321</v>
      </c>
    </row>
    <row r="25" spans="1:7" x14ac:dyDescent="0.25">
      <c r="A25" s="13">
        <v>1020</v>
      </c>
      <c r="B25" s="13" t="s">
        <v>76</v>
      </c>
      <c r="C25" s="13" t="s">
        <v>58</v>
      </c>
      <c r="D25" s="13" t="s">
        <v>56</v>
      </c>
      <c r="E25" s="13">
        <v>18</v>
      </c>
      <c r="F25" s="13">
        <v>25</v>
      </c>
      <c r="G25" s="28">
        <v>45323</v>
      </c>
    </row>
    <row r="26" spans="1:7" x14ac:dyDescent="0.25">
      <c r="A26" s="13">
        <v>1021</v>
      </c>
      <c r="B26" s="13" t="s">
        <v>77</v>
      </c>
      <c r="C26" s="13" t="s">
        <v>49</v>
      </c>
      <c r="D26" s="13" t="s">
        <v>50</v>
      </c>
      <c r="E26" s="13">
        <v>9</v>
      </c>
      <c r="F26" s="13">
        <v>50</v>
      </c>
      <c r="G26" s="28">
        <v>45324</v>
      </c>
    </row>
    <row r="27" spans="1:7" x14ac:dyDescent="0.25">
      <c r="A27" s="13">
        <v>1022</v>
      </c>
      <c r="B27" s="13" t="s">
        <v>78</v>
      </c>
      <c r="C27" s="13" t="s">
        <v>52</v>
      </c>
      <c r="D27" s="13" t="s">
        <v>60</v>
      </c>
      <c r="E27" s="13">
        <v>35</v>
      </c>
      <c r="F27" s="13">
        <v>5</v>
      </c>
      <c r="G27" s="28">
        <v>45325</v>
      </c>
    </row>
    <row r="28" spans="1:7" x14ac:dyDescent="0.25">
      <c r="A28" s="13">
        <v>1023</v>
      </c>
      <c r="B28" s="13" t="s">
        <v>79</v>
      </c>
      <c r="C28" s="13" t="s">
        <v>55</v>
      </c>
      <c r="D28" s="13" t="s">
        <v>63</v>
      </c>
      <c r="E28" s="13">
        <v>30</v>
      </c>
      <c r="F28" s="13">
        <v>8</v>
      </c>
      <c r="G28" s="28">
        <v>45326</v>
      </c>
    </row>
    <row r="29" spans="1:7" x14ac:dyDescent="0.25">
      <c r="A29" s="13">
        <v>1024</v>
      </c>
      <c r="B29" s="13" t="s">
        <v>80</v>
      </c>
      <c r="C29" s="13" t="s">
        <v>58</v>
      </c>
      <c r="D29" s="13" t="s">
        <v>50</v>
      </c>
      <c r="E29" s="13">
        <v>11</v>
      </c>
      <c r="F29" s="13">
        <v>50</v>
      </c>
      <c r="G29" s="28">
        <v>45328</v>
      </c>
    </row>
    <row r="30" spans="1:7" x14ac:dyDescent="0.25">
      <c r="A30" s="13">
        <v>1025</v>
      </c>
      <c r="B30" s="13" t="s">
        <v>81</v>
      </c>
      <c r="C30" s="13" t="s">
        <v>49</v>
      </c>
      <c r="D30" s="13" t="s">
        <v>53</v>
      </c>
      <c r="E30" s="13">
        <v>14</v>
      </c>
      <c r="F30" s="13">
        <v>10</v>
      </c>
      <c r="G30" s="28">
        <v>45329</v>
      </c>
    </row>
    <row r="31" spans="1:7" x14ac:dyDescent="0.25">
      <c r="A31" s="13">
        <v>1026</v>
      </c>
      <c r="B31" s="13" t="s">
        <v>82</v>
      </c>
      <c r="C31" s="13" t="s">
        <v>52</v>
      </c>
      <c r="D31" s="13" t="s">
        <v>56</v>
      </c>
      <c r="E31" s="13">
        <v>16</v>
      </c>
      <c r="F31" s="13">
        <v>25</v>
      </c>
      <c r="G31" s="28">
        <v>45330</v>
      </c>
    </row>
    <row r="32" spans="1:7" x14ac:dyDescent="0.25">
      <c r="A32" s="13">
        <v>1027</v>
      </c>
      <c r="B32" s="13" t="s">
        <v>83</v>
      </c>
      <c r="C32" s="13" t="s">
        <v>55</v>
      </c>
      <c r="D32" s="13" t="s">
        <v>60</v>
      </c>
      <c r="E32" s="13">
        <v>22</v>
      </c>
      <c r="F32" s="13">
        <v>5</v>
      </c>
      <c r="G32" s="28">
        <v>45331</v>
      </c>
    </row>
    <row r="33" spans="1:7" x14ac:dyDescent="0.25">
      <c r="A33" s="13">
        <v>1028</v>
      </c>
      <c r="B33" s="13" t="s">
        <v>84</v>
      </c>
      <c r="C33" s="13" t="s">
        <v>58</v>
      </c>
      <c r="D33" s="13" t="s">
        <v>63</v>
      </c>
      <c r="E33" s="13">
        <v>27</v>
      </c>
      <c r="F33" s="13">
        <v>8</v>
      </c>
      <c r="G33" s="28">
        <v>45332</v>
      </c>
    </row>
    <row r="34" spans="1:7" x14ac:dyDescent="0.25">
      <c r="A34" s="13">
        <v>1029</v>
      </c>
      <c r="B34" s="13" t="s">
        <v>85</v>
      </c>
      <c r="C34" s="13" t="s">
        <v>49</v>
      </c>
      <c r="D34" s="13" t="s">
        <v>50</v>
      </c>
      <c r="E34" s="13">
        <v>13</v>
      </c>
      <c r="F34" s="13">
        <v>50</v>
      </c>
      <c r="G34" s="28">
        <v>45334</v>
      </c>
    </row>
    <row r="35" spans="1:7" x14ac:dyDescent="0.25">
      <c r="A35" s="13">
        <v>1030</v>
      </c>
      <c r="B35" s="13" t="s">
        <v>86</v>
      </c>
      <c r="C35" s="13" t="s">
        <v>52</v>
      </c>
      <c r="D35" s="13" t="s">
        <v>53</v>
      </c>
      <c r="E35" s="13">
        <v>32</v>
      </c>
      <c r="F35" s="13">
        <v>10</v>
      </c>
      <c r="G35" s="28">
        <v>45335</v>
      </c>
    </row>
    <row r="36" spans="1:7" x14ac:dyDescent="0.25">
      <c r="A36" s="13">
        <v>1031</v>
      </c>
      <c r="B36" s="13" t="s">
        <v>87</v>
      </c>
      <c r="C36" s="13" t="s">
        <v>55</v>
      </c>
      <c r="D36" s="13" t="s">
        <v>56</v>
      </c>
      <c r="E36" s="13">
        <v>10</v>
      </c>
      <c r="F36" s="13">
        <v>25</v>
      </c>
      <c r="G36" s="28">
        <v>45336</v>
      </c>
    </row>
    <row r="37" spans="1:7" x14ac:dyDescent="0.25">
      <c r="A37" s="13">
        <v>1032</v>
      </c>
      <c r="B37" s="13" t="s">
        <v>88</v>
      </c>
      <c r="C37" s="13" t="s">
        <v>58</v>
      </c>
      <c r="D37" s="13" t="s">
        <v>60</v>
      </c>
      <c r="E37" s="13">
        <v>18</v>
      </c>
      <c r="F37" s="13">
        <v>5</v>
      </c>
      <c r="G37" s="28">
        <v>45338</v>
      </c>
    </row>
    <row r="38" spans="1:7" x14ac:dyDescent="0.25">
      <c r="A38" s="13">
        <v>1033</v>
      </c>
      <c r="B38" s="13" t="s">
        <v>89</v>
      </c>
      <c r="C38" s="13" t="s">
        <v>49</v>
      </c>
      <c r="D38" s="13" t="s">
        <v>63</v>
      </c>
      <c r="E38" s="13">
        <v>22</v>
      </c>
      <c r="F38" s="13">
        <v>8</v>
      </c>
      <c r="G38" s="28">
        <v>45339</v>
      </c>
    </row>
    <row r="39" spans="1:7" x14ac:dyDescent="0.25">
      <c r="A39" s="13">
        <v>1034</v>
      </c>
      <c r="B39" s="13" t="s">
        <v>90</v>
      </c>
      <c r="C39" s="13" t="s">
        <v>52</v>
      </c>
      <c r="D39" s="13" t="s">
        <v>50</v>
      </c>
      <c r="E39" s="13">
        <v>17</v>
      </c>
      <c r="F39" s="13">
        <v>50</v>
      </c>
      <c r="G39" s="28">
        <v>45340</v>
      </c>
    </row>
    <row r="40" spans="1:7" x14ac:dyDescent="0.25">
      <c r="A40" s="13">
        <v>1035</v>
      </c>
      <c r="B40" s="13" t="s">
        <v>91</v>
      </c>
      <c r="C40" s="13" t="s">
        <v>55</v>
      </c>
      <c r="D40" s="13" t="s">
        <v>53</v>
      </c>
      <c r="E40" s="13">
        <v>19</v>
      </c>
      <c r="F40" s="13">
        <v>10</v>
      </c>
      <c r="G40" s="28">
        <v>45341</v>
      </c>
    </row>
    <row r="41" spans="1:7" x14ac:dyDescent="0.25">
      <c r="A41" s="13">
        <v>1036</v>
      </c>
      <c r="B41" s="13" t="s">
        <v>92</v>
      </c>
      <c r="C41" s="13" t="s">
        <v>58</v>
      </c>
      <c r="D41" s="13" t="s">
        <v>56</v>
      </c>
      <c r="E41" s="13">
        <v>15</v>
      </c>
      <c r="F41" s="13">
        <v>25</v>
      </c>
      <c r="G41" s="28">
        <v>45343</v>
      </c>
    </row>
    <row r="42" spans="1:7" x14ac:dyDescent="0.25">
      <c r="A42" s="13">
        <v>1037</v>
      </c>
      <c r="B42" s="13" t="s">
        <v>93</v>
      </c>
      <c r="C42" s="13" t="s">
        <v>49</v>
      </c>
      <c r="D42" s="13" t="s">
        <v>60</v>
      </c>
      <c r="E42" s="13">
        <v>28</v>
      </c>
      <c r="F42" s="13">
        <v>5</v>
      </c>
      <c r="G42" s="28">
        <v>45344</v>
      </c>
    </row>
    <row r="43" spans="1:7" x14ac:dyDescent="0.25">
      <c r="A43" s="13">
        <v>1038</v>
      </c>
      <c r="B43" s="13" t="s">
        <v>94</v>
      </c>
      <c r="C43" s="13" t="s">
        <v>52</v>
      </c>
      <c r="D43" s="13" t="s">
        <v>63</v>
      </c>
      <c r="E43" s="13">
        <v>24</v>
      </c>
      <c r="F43" s="13">
        <v>8</v>
      </c>
      <c r="G43" s="28">
        <v>45345</v>
      </c>
    </row>
    <row r="44" spans="1:7" x14ac:dyDescent="0.25">
      <c r="A44" s="13">
        <v>1039</v>
      </c>
      <c r="B44" s="13" t="s">
        <v>95</v>
      </c>
      <c r="C44" s="13" t="s">
        <v>55</v>
      </c>
      <c r="D44" s="13" t="s">
        <v>50</v>
      </c>
      <c r="E44" s="13">
        <v>16</v>
      </c>
      <c r="F44" s="13">
        <v>50</v>
      </c>
      <c r="G44" s="28">
        <v>45347</v>
      </c>
    </row>
    <row r="45" spans="1:7" x14ac:dyDescent="0.25">
      <c r="A45" s="13">
        <v>1040</v>
      </c>
      <c r="B45" s="13" t="s">
        <v>96</v>
      </c>
      <c r="C45" s="13" t="s">
        <v>58</v>
      </c>
      <c r="D45" s="13" t="s">
        <v>53</v>
      </c>
      <c r="E45" s="13">
        <v>27</v>
      </c>
      <c r="F45" s="13">
        <v>10</v>
      </c>
      <c r="G45" s="28">
        <v>45348</v>
      </c>
    </row>
    <row r="46" spans="1:7" x14ac:dyDescent="0.25">
      <c r="A46" s="13">
        <v>1041</v>
      </c>
      <c r="B46" s="13" t="s">
        <v>97</v>
      </c>
      <c r="C46" s="13" t="s">
        <v>49</v>
      </c>
      <c r="D46" s="13" t="s">
        <v>56</v>
      </c>
      <c r="E46" s="13">
        <v>21</v>
      </c>
      <c r="F46" s="13">
        <v>25</v>
      </c>
      <c r="G46" s="28">
        <v>45349</v>
      </c>
    </row>
    <row r="47" spans="1:7" x14ac:dyDescent="0.25">
      <c r="A47" s="13">
        <v>1042</v>
      </c>
      <c r="B47" s="13" t="s">
        <v>98</v>
      </c>
      <c r="C47" s="13" t="s">
        <v>52</v>
      </c>
      <c r="D47" s="13" t="s">
        <v>60</v>
      </c>
      <c r="E47" s="13">
        <v>30</v>
      </c>
      <c r="F47" s="13">
        <v>5</v>
      </c>
      <c r="G47" s="28">
        <v>45350</v>
      </c>
    </row>
    <row r="48" spans="1:7" x14ac:dyDescent="0.25">
      <c r="A48" s="13">
        <v>1043</v>
      </c>
      <c r="B48" s="13" t="s">
        <v>99</v>
      </c>
      <c r="C48" s="13" t="s">
        <v>55</v>
      </c>
      <c r="D48" s="13" t="s">
        <v>63</v>
      </c>
      <c r="E48" s="13">
        <v>26</v>
      </c>
      <c r="F48" s="13">
        <v>8</v>
      </c>
      <c r="G48" s="28">
        <v>45352</v>
      </c>
    </row>
    <row r="49" spans="1:7" x14ac:dyDescent="0.25">
      <c r="A49" s="13">
        <v>1044</v>
      </c>
      <c r="B49" s="13" t="s">
        <v>100</v>
      </c>
      <c r="C49" s="13" t="s">
        <v>58</v>
      </c>
      <c r="D49" s="13" t="s">
        <v>50</v>
      </c>
      <c r="E49" s="13">
        <v>14</v>
      </c>
      <c r="F49" s="13">
        <v>50</v>
      </c>
      <c r="G49" s="28">
        <v>45353</v>
      </c>
    </row>
    <row r="50" spans="1:7" x14ac:dyDescent="0.25">
      <c r="A50" s="13">
        <v>1045</v>
      </c>
      <c r="B50" s="13" t="s">
        <v>101</v>
      </c>
      <c r="C50" s="13" t="s">
        <v>49</v>
      </c>
      <c r="D50" s="13" t="s">
        <v>53</v>
      </c>
      <c r="E50" s="13">
        <v>20</v>
      </c>
      <c r="F50" s="13">
        <v>10</v>
      </c>
      <c r="G50" s="28">
        <v>45354</v>
      </c>
    </row>
    <row r="51" spans="1:7" x14ac:dyDescent="0.25">
      <c r="A51" s="13">
        <v>1046</v>
      </c>
      <c r="B51" s="13" t="s">
        <v>102</v>
      </c>
      <c r="C51" s="13" t="s">
        <v>52</v>
      </c>
      <c r="D51" s="13" t="s">
        <v>56</v>
      </c>
      <c r="E51" s="13">
        <v>17</v>
      </c>
      <c r="F51" s="13">
        <v>25</v>
      </c>
      <c r="G51" s="28">
        <v>45355</v>
      </c>
    </row>
    <row r="52" spans="1:7" x14ac:dyDescent="0.25">
      <c r="A52" s="13">
        <v>1047</v>
      </c>
      <c r="B52" s="13" t="s">
        <v>103</v>
      </c>
      <c r="C52" s="13" t="s">
        <v>55</v>
      </c>
      <c r="D52" s="13" t="s">
        <v>60</v>
      </c>
      <c r="E52" s="13">
        <v>19</v>
      </c>
      <c r="F52" s="13">
        <v>5</v>
      </c>
      <c r="G52" s="28">
        <v>45356</v>
      </c>
    </row>
    <row r="53" spans="1:7" x14ac:dyDescent="0.25">
      <c r="A53" s="13">
        <v>1048</v>
      </c>
      <c r="B53" s="13" t="s">
        <v>104</v>
      </c>
      <c r="C53" s="13" t="s">
        <v>58</v>
      </c>
      <c r="D53" s="13" t="s">
        <v>63</v>
      </c>
      <c r="E53" s="13">
        <v>32</v>
      </c>
      <c r="F53" s="13">
        <v>8</v>
      </c>
      <c r="G53" s="28">
        <v>45357</v>
      </c>
    </row>
    <row r="54" spans="1:7" x14ac:dyDescent="0.25">
      <c r="A54" s="13">
        <v>1049</v>
      </c>
      <c r="B54" s="13" t="s">
        <v>105</v>
      </c>
      <c r="C54" s="13" t="s">
        <v>49</v>
      </c>
      <c r="D54" s="13" t="s">
        <v>50</v>
      </c>
      <c r="E54" s="13">
        <v>12</v>
      </c>
      <c r="F54" s="13">
        <v>50</v>
      </c>
      <c r="G54" s="28">
        <v>45358</v>
      </c>
    </row>
    <row r="55" spans="1:7" x14ac:dyDescent="0.25">
      <c r="A55" s="13">
        <v>1050</v>
      </c>
      <c r="B55" s="13" t="s">
        <v>106</v>
      </c>
      <c r="C55" s="13" t="s">
        <v>52</v>
      </c>
      <c r="D55" s="13" t="s">
        <v>53</v>
      </c>
      <c r="E55" s="13">
        <v>25</v>
      </c>
      <c r="F55" s="13">
        <v>10</v>
      </c>
      <c r="G55" s="28">
        <v>45359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5"/>
  <sheetViews>
    <sheetView topLeftCell="A37" workbookViewId="0">
      <selection activeCell="A5" sqref="A5:H55"/>
    </sheetView>
  </sheetViews>
  <sheetFormatPr defaultRowHeight="15" x14ac:dyDescent="0.25"/>
  <cols>
    <col min="1" max="1" width="10.5703125" customWidth="1"/>
    <col min="2" max="2" width="15" customWidth="1"/>
    <col min="3" max="3" width="10.85546875" customWidth="1"/>
    <col min="4" max="4" width="11.85546875" customWidth="1"/>
    <col min="7" max="7" width="13" customWidth="1"/>
  </cols>
  <sheetData>
    <row r="2" spans="1:12" ht="18.75" x14ac:dyDescent="0.3">
      <c r="D2" s="8" t="s">
        <v>112</v>
      </c>
      <c r="E2" s="9"/>
      <c r="F2" s="9"/>
      <c r="G2" s="9"/>
      <c r="H2" s="9"/>
      <c r="I2" s="9"/>
    </row>
    <row r="5" spans="1:12" x14ac:dyDescent="0.25">
      <c r="A5" s="13" t="s">
        <v>41</v>
      </c>
      <c r="B5" s="13" t="s">
        <v>42</v>
      </c>
      <c r="C5" s="13" t="s">
        <v>43</v>
      </c>
      <c r="D5" s="13" t="s">
        <v>44</v>
      </c>
      <c r="E5" s="13" t="s">
        <v>45</v>
      </c>
      <c r="F5" s="13" t="s">
        <v>46</v>
      </c>
      <c r="G5" s="14" t="s">
        <v>47</v>
      </c>
      <c r="H5" s="31" t="s">
        <v>113</v>
      </c>
    </row>
    <row r="6" spans="1:12" x14ac:dyDescent="0.25">
      <c r="A6" s="13">
        <v>1001</v>
      </c>
      <c r="B6" s="13" t="s">
        <v>48</v>
      </c>
      <c r="C6" s="13" t="s">
        <v>49</v>
      </c>
      <c r="D6" s="13" t="s">
        <v>50</v>
      </c>
      <c r="E6" s="13">
        <v>10</v>
      </c>
      <c r="F6" s="13">
        <v>50</v>
      </c>
      <c r="G6" s="30">
        <v>45296</v>
      </c>
      <c r="H6" s="32">
        <f>PRODUCT(E6:F6)</f>
        <v>500</v>
      </c>
    </row>
    <row r="7" spans="1:12" x14ac:dyDescent="0.25">
      <c r="A7" s="13">
        <v>1002</v>
      </c>
      <c r="B7" s="13" t="s">
        <v>51</v>
      </c>
      <c r="C7" s="13" t="s">
        <v>52</v>
      </c>
      <c r="D7" s="13" t="s">
        <v>53</v>
      </c>
      <c r="E7" s="13">
        <v>20</v>
      </c>
      <c r="F7" s="13">
        <v>10</v>
      </c>
      <c r="G7" s="30">
        <v>45297</v>
      </c>
      <c r="H7" s="32">
        <f t="shared" ref="H7:H55" si="0">PRODUCT(E7:F7)</f>
        <v>200</v>
      </c>
    </row>
    <row r="8" spans="1:12" x14ac:dyDescent="0.25">
      <c r="A8" s="13">
        <v>1003</v>
      </c>
      <c r="B8" s="13" t="s">
        <v>54</v>
      </c>
      <c r="C8" s="13" t="s">
        <v>55</v>
      </c>
      <c r="D8" s="13" t="s">
        <v>56</v>
      </c>
      <c r="E8" s="13">
        <v>15</v>
      </c>
      <c r="F8" s="13">
        <v>25</v>
      </c>
      <c r="G8" s="30">
        <v>45298</v>
      </c>
      <c r="H8" s="32">
        <f t="shared" si="0"/>
        <v>375</v>
      </c>
    </row>
    <row r="9" spans="1:12" x14ac:dyDescent="0.25">
      <c r="A9" s="13">
        <v>1004</v>
      </c>
      <c r="B9" s="13" t="s">
        <v>57</v>
      </c>
      <c r="C9" s="13" t="s">
        <v>58</v>
      </c>
      <c r="D9" s="13" t="s">
        <v>50</v>
      </c>
      <c r="E9" s="13">
        <v>5</v>
      </c>
      <c r="F9" s="13">
        <v>50</v>
      </c>
      <c r="G9" s="30">
        <v>45299</v>
      </c>
      <c r="H9" s="32">
        <f t="shared" si="0"/>
        <v>250</v>
      </c>
    </row>
    <row r="10" spans="1:12" x14ac:dyDescent="0.25">
      <c r="A10" s="13">
        <v>1005</v>
      </c>
      <c r="B10" s="13" t="s">
        <v>59</v>
      </c>
      <c r="C10" s="13" t="s">
        <v>49</v>
      </c>
      <c r="D10" s="13" t="s">
        <v>60</v>
      </c>
      <c r="E10" s="13">
        <v>30</v>
      </c>
      <c r="F10" s="13">
        <v>5</v>
      </c>
      <c r="G10" s="30">
        <v>45301</v>
      </c>
      <c r="H10" s="32">
        <f t="shared" si="0"/>
        <v>150</v>
      </c>
    </row>
    <row r="11" spans="1:12" x14ac:dyDescent="0.25">
      <c r="A11" s="13">
        <v>1006</v>
      </c>
      <c r="B11" s="13" t="s">
        <v>61</v>
      </c>
      <c r="C11" s="13" t="s">
        <v>52</v>
      </c>
      <c r="D11" s="13" t="s">
        <v>50</v>
      </c>
      <c r="E11" s="13">
        <v>12</v>
      </c>
      <c r="F11" s="13">
        <v>50</v>
      </c>
      <c r="G11" s="30">
        <v>45302</v>
      </c>
      <c r="H11" s="32">
        <f t="shared" si="0"/>
        <v>600</v>
      </c>
      <c r="L11" t="s">
        <v>114</v>
      </c>
    </row>
    <row r="12" spans="1:12" x14ac:dyDescent="0.25">
      <c r="A12" s="13">
        <v>1007</v>
      </c>
      <c r="B12" s="13" t="s">
        <v>62</v>
      </c>
      <c r="C12" s="13" t="s">
        <v>55</v>
      </c>
      <c r="D12" s="13" t="s">
        <v>63</v>
      </c>
      <c r="E12" s="13">
        <v>25</v>
      </c>
      <c r="F12" s="13">
        <v>8</v>
      </c>
      <c r="G12" s="30">
        <v>45304</v>
      </c>
      <c r="H12" s="32">
        <f t="shared" si="0"/>
        <v>200</v>
      </c>
      <c r="L12" s="6">
        <f>SUMPRODUCT(E6:E55,F6:F55)</f>
        <v>16543</v>
      </c>
    </row>
    <row r="13" spans="1:12" x14ac:dyDescent="0.25">
      <c r="A13" s="13">
        <v>1008</v>
      </c>
      <c r="B13" s="13" t="s">
        <v>64</v>
      </c>
      <c r="C13" s="13" t="s">
        <v>58</v>
      </c>
      <c r="D13" s="13" t="s">
        <v>53</v>
      </c>
      <c r="E13" s="13">
        <v>18</v>
      </c>
      <c r="F13" s="13">
        <v>10</v>
      </c>
      <c r="G13" s="30">
        <v>45306</v>
      </c>
      <c r="H13" s="32">
        <f t="shared" si="0"/>
        <v>180</v>
      </c>
    </row>
    <row r="14" spans="1:12" x14ac:dyDescent="0.25">
      <c r="A14" s="13">
        <v>1009</v>
      </c>
      <c r="B14" s="13" t="s">
        <v>65</v>
      </c>
      <c r="C14" s="13" t="s">
        <v>49</v>
      </c>
      <c r="D14" s="13" t="s">
        <v>56</v>
      </c>
      <c r="E14" s="13">
        <v>22</v>
      </c>
      <c r="F14" s="13">
        <v>25</v>
      </c>
      <c r="G14" s="30">
        <v>45308</v>
      </c>
      <c r="H14" s="32">
        <f t="shared" si="0"/>
        <v>550</v>
      </c>
    </row>
    <row r="15" spans="1:12" x14ac:dyDescent="0.25">
      <c r="A15" s="13">
        <v>1010</v>
      </c>
      <c r="B15" s="13" t="s">
        <v>66</v>
      </c>
      <c r="C15" s="13" t="s">
        <v>52</v>
      </c>
      <c r="D15" s="13" t="s">
        <v>50</v>
      </c>
      <c r="E15" s="13">
        <v>8</v>
      </c>
      <c r="F15" s="13">
        <v>50</v>
      </c>
      <c r="G15" s="30">
        <v>45309</v>
      </c>
      <c r="H15" s="32">
        <f t="shared" si="0"/>
        <v>400</v>
      </c>
    </row>
    <row r="16" spans="1:12" x14ac:dyDescent="0.25">
      <c r="A16" s="13">
        <v>1011</v>
      </c>
      <c r="B16" s="13" t="s">
        <v>67</v>
      </c>
      <c r="C16" s="13" t="s">
        <v>55</v>
      </c>
      <c r="D16" s="13" t="s">
        <v>60</v>
      </c>
      <c r="E16" s="13">
        <v>40</v>
      </c>
      <c r="F16" s="13">
        <v>5</v>
      </c>
      <c r="G16" s="30">
        <v>45310</v>
      </c>
      <c r="H16" s="32">
        <f t="shared" si="0"/>
        <v>200</v>
      </c>
    </row>
    <row r="17" spans="1:8" x14ac:dyDescent="0.25">
      <c r="A17" s="13">
        <v>1012</v>
      </c>
      <c r="B17" s="13" t="s">
        <v>68</v>
      </c>
      <c r="C17" s="13" t="s">
        <v>58</v>
      </c>
      <c r="D17" s="13" t="s">
        <v>63</v>
      </c>
      <c r="E17" s="13">
        <v>35</v>
      </c>
      <c r="F17" s="13">
        <v>8</v>
      </c>
      <c r="G17" s="30">
        <v>45311</v>
      </c>
      <c r="H17" s="32">
        <f t="shared" si="0"/>
        <v>280</v>
      </c>
    </row>
    <row r="18" spans="1:8" x14ac:dyDescent="0.25">
      <c r="A18" s="13">
        <v>1013</v>
      </c>
      <c r="B18" s="13" t="s">
        <v>69</v>
      </c>
      <c r="C18" s="13" t="s">
        <v>49</v>
      </c>
      <c r="D18" s="13" t="s">
        <v>50</v>
      </c>
      <c r="E18" s="13">
        <v>14</v>
      </c>
      <c r="F18" s="13">
        <v>50</v>
      </c>
      <c r="G18" s="30">
        <v>45313</v>
      </c>
      <c r="H18" s="32">
        <f t="shared" si="0"/>
        <v>700</v>
      </c>
    </row>
    <row r="19" spans="1:8" x14ac:dyDescent="0.25">
      <c r="A19" s="13">
        <v>1014</v>
      </c>
      <c r="B19" s="13" t="s">
        <v>70</v>
      </c>
      <c r="C19" s="13" t="s">
        <v>52</v>
      </c>
      <c r="D19" s="13" t="s">
        <v>53</v>
      </c>
      <c r="E19" s="13">
        <v>28</v>
      </c>
      <c r="F19" s="13">
        <v>10</v>
      </c>
      <c r="G19" s="30">
        <v>45314</v>
      </c>
      <c r="H19" s="32">
        <f t="shared" si="0"/>
        <v>280</v>
      </c>
    </row>
    <row r="20" spans="1:8" x14ac:dyDescent="0.25">
      <c r="A20" s="13">
        <v>1015</v>
      </c>
      <c r="B20" s="13" t="s">
        <v>71</v>
      </c>
      <c r="C20" s="13" t="s">
        <v>55</v>
      </c>
      <c r="D20" s="13" t="s">
        <v>56</v>
      </c>
      <c r="E20" s="13">
        <v>12</v>
      </c>
      <c r="F20" s="13">
        <v>25</v>
      </c>
      <c r="G20" s="30">
        <v>45315</v>
      </c>
      <c r="H20" s="32">
        <f t="shared" si="0"/>
        <v>300</v>
      </c>
    </row>
    <row r="21" spans="1:8" x14ac:dyDescent="0.25">
      <c r="A21" s="13">
        <v>1016</v>
      </c>
      <c r="B21" s="13" t="s">
        <v>72</v>
      </c>
      <c r="C21" s="13" t="s">
        <v>58</v>
      </c>
      <c r="D21" s="13" t="s">
        <v>60</v>
      </c>
      <c r="E21" s="13">
        <v>25</v>
      </c>
      <c r="F21" s="13">
        <v>5</v>
      </c>
      <c r="G21" s="30">
        <v>45317</v>
      </c>
      <c r="H21" s="32">
        <f t="shared" si="0"/>
        <v>125</v>
      </c>
    </row>
    <row r="22" spans="1:8" x14ac:dyDescent="0.25">
      <c r="A22" s="13">
        <v>1017</v>
      </c>
      <c r="B22" s="13" t="s">
        <v>73</v>
      </c>
      <c r="C22" s="13" t="s">
        <v>49</v>
      </c>
      <c r="D22" s="13" t="s">
        <v>63</v>
      </c>
      <c r="E22" s="13">
        <v>20</v>
      </c>
      <c r="F22" s="13">
        <v>8</v>
      </c>
      <c r="G22" s="30">
        <v>45319</v>
      </c>
      <c r="H22" s="32">
        <f t="shared" si="0"/>
        <v>160</v>
      </c>
    </row>
    <row r="23" spans="1:8" x14ac:dyDescent="0.25">
      <c r="A23" s="13">
        <v>1018</v>
      </c>
      <c r="B23" s="13" t="s">
        <v>74</v>
      </c>
      <c r="C23" s="13" t="s">
        <v>52</v>
      </c>
      <c r="D23" s="13" t="s">
        <v>50</v>
      </c>
      <c r="E23" s="13">
        <v>10</v>
      </c>
      <c r="F23" s="13">
        <v>50</v>
      </c>
      <c r="G23" s="30">
        <v>45320</v>
      </c>
      <c r="H23" s="32">
        <f t="shared" si="0"/>
        <v>500</v>
      </c>
    </row>
    <row r="24" spans="1:8" x14ac:dyDescent="0.25">
      <c r="A24" s="13">
        <v>1019</v>
      </c>
      <c r="B24" s="13" t="s">
        <v>75</v>
      </c>
      <c r="C24" s="13" t="s">
        <v>55</v>
      </c>
      <c r="D24" s="13" t="s">
        <v>53</v>
      </c>
      <c r="E24" s="13">
        <v>15</v>
      </c>
      <c r="F24" s="13">
        <v>10</v>
      </c>
      <c r="G24" s="30">
        <v>45321</v>
      </c>
      <c r="H24" s="32">
        <f t="shared" si="0"/>
        <v>150</v>
      </c>
    </row>
    <row r="25" spans="1:8" x14ac:dyDescent="0.25">
      <c r="A25" s="13">
        <v>1020</v>
      </c>
      <c r="B25" s="13" t="s">
        <v>76</v>
      </c>
      <c r="C25" s="13" t="s">
        <v>58</v>
      </c>
      <c r="D25" s="13" t="s">
        <v>56</v>
      </c>
      <c r="E25" s="13">
        <v>18</v>
      </c>
      <c r="F25" s="13">
        <v>25</v>
      </c>
      <c r="G25" s="30">
        <v>45323</v>
      </c>
      <c r="H25" s="32">
        <f t="shared" si="0"/>
        <v>450</v>
      </c>
    </row>
    <row r="26" spans="1:8" x14ac:dyDescent="0.25">
      <c r="A26" s="13">
        <v>1021</v>
      </c>
      <c r="B26" s="13" t="s">
        <v>77</v>
      </c>
      <c r="C26" s="13" t="s">
        <v>49</v>
      </c>
      <c r="D26" s="13" t="s">
        <v>50</v>
      </c>
      <c r="E26" s="13">
        <v>9</v>
      </c>
      <c r="F26" s="13">
        <v>50</v>
      </c>
      <c r="G26" s="30">
        <v>45324</v>
      </c>
      <c r="H26" s="32">
        <f t="shared" si="0"/>
        <v>450</v>
      </c>
    </row>
    <row r="27" spans="1:8" x14ac:dyDescent="0.25">
      <c r="A27" s="13">
        <v>1022</v>
      </c>
      <c r="B27" s="13" t="s">
        <v>78</v>
      </c>
      <c r="C27" s="13" t="s">
        <v>52</v>
      </c>
      <c r="D27" s="13" t="s">
        <v>60</v>
      </c>
      <c r="E27" s="13">
        <v>35</v>
      </c>
      <c r="F27" s="13">
        <v>5</v>
      </c>
      <c r="G27" s="30">
        <v>45325</v>
      </c>
      <c r="H27" s="32">
        <f t="shared" si="0"/>
        <v>175</v>
      </c>
    </row>
    <row r="28" spans="1:8" x14ac:dyDescent="0.25">
      <c r="A28" s="13">
        <v>1023</v>
      </c>
      <c r="B28" s="13" t="s">
        <v>79</v>
      </c>
      <c r="C28" s="13" t="s">
        <v>55</v>
      </c>
      <c r="D28" s="13" t="s">
        <v>63</v>
      </c>
      <c r="E28" s="13">
        <v>30</v>
      </c>
      <c r="F28" s="13">
        <v>8</v>
      </c>
      <c r="G28" s="30">
        <v>45326</v>
      </c>
      <c r="H28" s="32">
        <f t="shared" si="0"/>
        <v>240</v>
      </c>
    </row>
    <row r="29" spans="1:8" x14ac:dyDescent="0.25">
      <c r="A29" s="13">
        <v>1024</v>
      </c>
      <c r="B29" s="13" t="s">
        <v>80</v>
      </c>
      <c r="C29" s="13" t="s">
        <v>58</v>
      </c>
      <c r="D29" s="13" t="s">
        <v>50</v>
      </c>
      <c r="E29" s="13">
        <v>11</v>
      </c>
      <c r="F29" s="13">
        <v>50</v>
      </c>
      <c r="G29" s="30">
        <v>45328</v>
      </c>
      <c r="H29" s="32">
        <f t="shared" si="0"/>
        <v>550</v>
      </c>
    </row>
    <row r="30" spans="1:8" x14ac:dyDescent="0.25">
      <c r="A30" s="13">
        <v>1025</v>
      </c>
      <c r="B30" s="13" t="s">
        <v>81</v>
      </c>
      <c r="C30" s="13" t="s">
        <v>49</v>
      </c>
      <c r="D30" s="13" t="s">
        <v>53</v>
      </c>
      <c r="E30" s="13">
        <v>14</v>
      </c>
      <c r="F30" s="13">
        <v>10</v>
      </c>
      <c r="G30" s="30">
        <v>45329</v>
      </c>
      <c r="H30" s="32">
        <f t="shared" si="0"/>
        <v>140</v>
      </c>
    </row>
    <row r="31" spans="1:8" x14ac:dyDescent="0.25">
      <c r="A31" s="13">
        <v>1026</v>
      </c>
      <c r="B31" s="13" t="s">
        <v>82</v>
      </c>
      <c r="C31" s="13" t="s">
        <v>52</v>
      </c>
      <c r="D31" s="13" t="s">
        <v>56</v>
      </c>
      <c r="E31" s="13">
        <v>16</v>
      </c>
      <c r="F31" s="13">
        <v>25</v>
      </c>
      <c r="G31" s="30">
        <v>45330</v>
      </c>
      <c r="H31" s="32">
        <f t="shared" si="0"/>
        <v>400</v>
      </c>
    </row>
    <row r="32" spans="1:8" x14ac:dyDescent="0.25">
      <c r="A32" s="13">
        <v>1027</v>
      </c>
      <c r="B32" s="13" t="s">
        <v>83</v>
      </c>
      <c r="C32" s="13" t="s">
        <v>55</v>
      </c>
      <c r="D32" s="13" t="s">
        <v>60</v>
      </c>
      <c r="E32" s="13">
        <v>22</v>
      </c>
      <c r="F32" s="13">
        <v>5</v>
      </c>
      <c r="G32" s="30">
        <v>45331</v>
      </c>
      <c r="H32" s="32">
        <f t="shared" si="0"/>
        <v>110</v>
      </c>
    </row>
    <row r="33" spans="1:8" x14ac:dyDescent="0.25">
      <c r="A33" s="13">
        <v>1028</v>
      </c>
      <c r="B33" s="13" t="s">
        <v>84</v>
      </c>
      <c r="C33" s="13" t="s">
        <v>58</v>
      </c>
      <c r="D33" s="13" t="s">
        <v>63</v>
      </c>
      <c r="E33" s="13">
        <v>27</v>
      </c>
      <c r="F33" s="13">
        <v>8</v>
      </c>
      <c r="G33" s="30">
        <v>45332</v>
      </c>
      <c r="H33" s="32">
        <f t="shared" si="0"/>
        <v>216</v>
      </c>
    </row>
    <row r="34" spans="1:8" x14ac:dyDescent="0.25">
      <c r="A34" s="13">
        <v>1029</v>
      </c>
      <c r="B34" s="13" t="s">
        <v>85</v>
      </c>
      <c r="C34" s="13" t="s">
        <v>49</v>
      </c>
      <c r="D34" s="13" t="s">
        <v>50</v>
      </c>
      <c r="E34" s="13">
        <v>13</v>
      </c>
      <c r="F34" s="13">
        <v>50</v>
      </c>
      <c r="G34" s="30">
        <v>45334</v>
      </c>
      <c r="H34" s="32">
        <f t="shared" si="0"/>
        <v>650</v>
      </c>
    </row>
    <row r="35" spans="1:8" x14ac:dyDescent="0.25">
      <c r="A35" s="13">
        <v>1030</v>
      </c>
      <c r="B35" s="13" t="s">
        <v>86</v>
      </c>
      <c r="C35" s="13" t="s">
        <v>52</v>
      </c>
      <c r="D35" s="13" t="s">
        <v>53</v>
      </c>
      <c r="E35" s="13">
        <v>32</v>
      </c>
      <c r="F35" s="13">
        <v>10</v>
      </c>
      <c r="G35" s="30">
        <v>45335</v>
      </c>
      <c r="H35" s="32">
        <f t="shared" si="0"/>
        <v>320</v>
      </c>
    </row>
    <row r="36" spans="1:8" x14ac:dyDescent="0.25">
      <c r="A36" s="13">
        <v>1031</v>
      </c>
      <c r="B36" s="13" t="s">
        <v>87</v>
      </c>
      <c r="C36" s="13" t="s">
        <v>55</v>
      </c>
      <c r="D36" s="13" t="s">
        <v>56</v>
      </c>
      <c r="E36" s="13">
        <v>10</v>
      </c>
      <c r="F36" s="13">
        <v>25</v>
      </c>
      <c r="G36" s="30">
        <v>45336</v>
      </c>
      <c r="H36" s="32">
        <f t="shared" si="0"/>
        <v>250</v>
      </c>
    </row>
    <row r="37" spans="1:8" x14ac:dyDescent="0.25">
      <c r="A37" s="13">
        <v>1032</v>
      </c>
      <c r="B37" s="13" t="s">
        <v>88</v>
      </c>
      <c r="C37" s="13" t="s">
        <v>58</v>
      </c>
      <c r="D37" s="13" t="s">
        <v>60</v>
      </c>
      <c r="E37" s="13">
        <v>18</v>
      </c>
      <c r="F37" s="13">
        <v>5</v>
      </c>
      <c r="G37" s="30">
        <v>45338</v>
      </c>
      <c r="H37" s="32">
        <f t="shared" si="0"/>
        <v>90</v>
      </c>
    </row>
    <row r="38" spans="1:8" x14ac:dyDescent="0.25">
      <c r="A38" s="13">
        <v>1033</v>
      </c>
      <c r="B38" s="13" t="s">
        <v>89</v>
      </c>
      <c r="C38" s="13" t="s">
        <v>49</v>
      </c>
      <c r="D38" s="13" t="s">
        <v>63</v>
      </c>
      <c r="E38" s="13">
        <v>22</v>
      </c>
      <c r="F38" s="13">
        <v>8</v>
      </c>
      <c r="G38" s="30">
        <v>45339</v>
      </c>
      <c r="H38" s="32">
        <f t="shared" si="0"/>
        <v>176</v>
      </c>
    </row>
    <row r="39" spans="1:8" x14ac:dyDescent="0.25">
      <c r="A39" s="13">
        <v>1034</v>
      </c>
      <c r="B39" s="13" t="s">
        <v>90</v>
      </c>
      <c r="C39" s="13" t="s">
        <v>52</v>
      </c>
      <c r="D39" s="13" t="s">
        <v>50</v>
      </c>
      <c r="E39" s="13">
        <v>17</v>
      </c>
      <c r="F39" s="13">
        <v>50</v>
      </c>
      <c r="G39" s="30">
        <v>45340</v>
      </c>
      <c r="H39" s="32">
        <f t="shared" si="0"/>
        <v>850</v>
      </c>
    </row>
    <row r="40" spans="1:8" x14ac:dyDescent="0.25">
      <c r="A40" s="13">
        <v>1035</v>
      </c>
      <c r="B40" s="13" t="s">
        <v>91</v>
      </c>
      <c r="C40" s="13" t="s">
        <v>55</v>
      </c>
      <c r="D40" s="13" t="s">
        <v>53</v>
      </c>
      <c r="E40" s="13">
        <v>19</v>
      </c>
      <c r="F40" s="13">
        <v>10</v>
      </c>
      <c r="G40" s="30">
        <v>45341</v>
      </c>
      <c r="H40" s="32">
        <f t="shared" si="0"/>
        <v>190</v>
      </c>
    </row>
    <row r="41" spans="1:8" x14ac:dyDescent="0.25">
      <c r="A41" s="13">
        <v>1036</v>
      </c>
      <c r="B41" s="13" t="s">
        <v>92</v>
      </c>
      <c r="C41" s="13" t="s">
        <v>58</v>
      </c>
      <c r="D41" s="13" t="s">
        <v>56</v>
      </c>
      <c r="E41" s="13">
        <v>15</v>
      </c>
      <c r="F41" s="13">
        <v>25</v>
      </c>
      <c r="G41" s="30">
        <v>45343</v>
      </c>
      <c r="H41" s="32">
        <f t="shared" si="0"/>
        <v>375</v>
      </c>
    </row>
    <row r="42" spans="1:8" x14ac:dyDescent="0.25">
      <c r="A42" s="13">
        <v>1037</v>
      </c>
      <c r="B42" s="13" t="s">
        <v>93</v>
      </c>
      <c r="C42" s="13" t="s">
        <v>49</v>
      </c>
      <c r="D42" s="13" t="s">
        <v>60</v>
      </c>
      <c r="E42" s="13">
        <v>28</v>
      </c>
      <c r="F42" s="13">
        <v>5</v>
      </c>
      <c r="G42" s="30">
        <v>45344</v>
      </c>
      <c r="H42" s="32">
        <f t="shared" si="0"/>
        <v>140</v>
      </c>
    </row>
    <row r="43" spans="1:8" x14ac:dyDescent="0.25">
      <c r="A43" s="13">
        <v>1038</v>
      </c>
      <c r="B43" s="13" t="s">
        <v>94</v>
      </c>
      <c r="C43" s="13" t="s">
        <v>52</v>
      </c>
      <c r="D43" s="13" t="s">
        <v>63</v>
      </c>
      <c r="E43" s="13">
        <v>24</v>
      </c>
      <c r="F43" s="13">
        <v>8</v>
      </c>
      <c r="G43" s="30">
        <v>45345</v>
      </c>
      <c r="H43" s="32">
        <f t="shared" si="0"/>
        <v>192</v>
      </c>
    </row>
    <row r="44" spans="1:8" x14ac:dyDescent="0.25">
      <c r="A44" s="13">
        <v>1039</v>
      </c>
      <c r="B44" s="13" t="s">
        <v>95</v>
      </c>
      <c r="C44" s="13" t="s">
        <v>55</v>
      </c>
      <c r="D44" s="13" t="s">
        <v>50</v>
      </c>
      <c r="E44" s="13">
        <v>16</v>
      </c>
      <c r="F44" s="13">
        <v>50</v>
      </c>
      <c r="G44" s="30">
        <v>45347</v>
      </c>
      <c r="H44" s="32">
        <f t="shared" si="0"/>
        <v>800</v>
      </c>
    </row>
    <row r="45" spans="1:8" x14ac:dyDescent="0.25">
      <c r="A45" s="13">
        <v>1040</v>
      </c>
      <c r="B45" s="13" t="s">
        <v>96</v>
      </c>
      <c r="C45" s="13" t="s">
        <v>58</v>
      </c>
      <c r="D45" s="13" t="s">
        <v>53</v>
      </c>
      <c r="E45" s="13">
        <v>27</v>
      </c>
      <c r="F45" s="13">
        <v>10</v>
      </c>
      <c r="G45" s="30">
        <v>45348</v>
      </c>
      <c r="H45" s="32">
        <f t="shared" si="0"/>
        <v>270</v>
      </c>
    </row>
    <row r="46" spans="1:8" x14ac:dyDescent="0.25">
      <c r="A46" s="13">
        <v>1041</v>
      </c>
      <c r="B46" s="13" t="s">
        <v>97</v>
      </c>
      <c r="C46" s="13" t="s">
        <v>49</v>
      </c>
      <c r="D46" s="13" t="s">
        <v>56</v>
      </c>
      <c r="E46" s="13">
        <v>21</v>
      </c>
      <c r="F46" s="13">
        <v>25</v>
      </c>
      <c r="G46" s="30">
        <v>45349</v>
      </c>
      <c r="H46" s="32">
        <f t="shared" si="0"/>
        <v>525</v>
      </c>
    </row>
    <row r="47" spans="1:8" x14ac:dyDescent="0.25">
      <c r="A47" s="13">
        <v>1042</v>
      </c>
      <c r="B47" s="13" t="s">
        <v>98</v>
      </c>
      <c r="C47" s="13" t="s">
        <v>52</v>
      </c>
      <c r="D47" s="13" t="s">
        <v>60</v>
      </c>
      <c r="E47" s="13">
        <v>30</v>
      </c>
      <c r="F47" s="13">
        <v>5</v>
      </c>
      <c r="G47" s="30">
        <v>45350</v>
      </c>
      <c r="H47" s="32">
        <f t="shared" si="0"/>
        <v>150</v>
      </c>
    </row>
    <row r="48" spans="1:8" x14ac:dyDescent="0.25">
      <c r="A48" s="13">
        <v>1043</v>
      </c>
      <c r="B48" s="13" t="s">
        <v>99</v>
      </c>
      <c r="C48" s="13" t="s">
        <v>55</v>
      </c>
      <c r="D48" s="13" t="s">
        <v>63</v>
      </c>
      <c r="E48" s="13">
        <v>26</v>
      </c>
      <c r="F48" s="13">
        <v>8</v>
      </c>
      <c r="G48" s="30">
        <v>45352</v>
      </c>
      <c r="H48" s="32">
        <f t="shared" si="0"/>
        <v>208</v>
      </c>
    </row>
    <row r="49" spans="1:8" x14ac:dyDescent="0.25">
      <c r="A49" s="13">
        <v>1044</v>
      </c>
      <c r="B49" s="13" t="s">
        <v>100</v>
      </c>
      <c r="C49" s="13" t="s">
        <v>58</v>
      </c>
      <c r="D49" s="13" t="s">
        <v>50</v>
      </c>
      <c r="E49" s="13">
        <v>14</v>
      </c>
      <c r="F49" s="13">
        <v>50</v>
      </c>
      <c r="G49" s="30">
        <v>45353</v>
      </c>
      <c r="H49" s="32">
        <f t="shared" si="0"/>
        <v>700</v>
      </c>
    </row>
    <row r="50" spans="1:8" x14ac:dyDescent="0.25">
      <c r="A50" s="13">
        <v>1045</v>
      </c>
      <c r="B50" s="13" t="s">
        <v>101</v>
      </c>
      <c r="C50" s="13" t="s">
        <v>49</v>
      </c>
      <c r="D50" s="13" t="s">
        <v>53</v>
      </c>
      <c r="E50" s="13">
        <v>20</v>
      </c>
      <c r="F50" s="13">
        <v>10</v>
      </c>
      <c r="G50" s="30">
        <v>45354</v>
      </c>
      <c r="H50" s="32">
        <f t="shared" si="0"/>
        <v>200</v>
      </c>
    </row>
    <row r="51" spans="1:8" x14ac:dyDescent="0.25">
      <c r="A51" s="13">
        <v>1046</v>
      </c>
      <c r="B51" s="13" t="s">
        <v>102</v>
      </c>
      <c r="C51" s="13" t="s">
        <v>52</v>
      </c>
      <c r="D51" s="13" t="s">
        <v>56</v>
      </c>
      <c r="E51" s="13">
        <v>17</v>
      </c>
      <c r="F51" s="13">
        <v>25</v>
      </c>
      <c r="G51" s="30">
        <v>45355</v>
      </c>
      <c r="H51" s="32">
        <f t="shared" si="0"/>
        <v>425</v>
      </c>
    </row>
    <row r="52" spans="1:8" x14ac:dyDescent="0.25">
      <c r="A52" s="13">
        <v>1047</v>
      </c>
      <c r="B52" s="13" t="s">
        <v>103</v>
      </c>
      <c r="C52" s="13" t="s">
        <v>55</v>
      </c>
      <c r="D52" s="13" t="s">
        <v>60</v>
      </c>
      <c r="E52" s="13">
        <v>19</v>
      </c>
      <c r="F52" s="13">
        <v>5</v>
      </c>
      <c r="G52" s="30">
        <v>45356</v>
      </c>
      <c r="H52" s="32">
        <f t="shared" si="0"/>
        <v>95</v>
      </c>
    </row>
    <row r="53" spans="1:8" x14ac:dyDescent="0.25">
      <c r="A53" s="13">
        <v>1048</v>
      </c>
      <c r="B53" s="13" t="s">
        <v>104</v>
      </c>
      <c r="C53" s="13" t="s">
        <v>58</v>
      </c>
      <c r="D53" s="13" t="s">
        <v>63</v>
      </c>
      <c r="E53" s="13">
        <v>32</v>
      </c>
      <c r="F53" s="13">
        <v>8</v>
      </c>
      <c r="G53" s="30">
        <v>45357</v>
      </c>
      <c r="H53" s="32">
        <f t="shared" si="0"/>
        <v>256</v>
      </c>
    </row>
    <row r="54" spans="1:8" x14ac:dyDescent="0.25">
      <c r="A54" s="13">
        <v>1049</v>
      </c>
      <c r="B54" s="13" t="s">
        <v>105</v>
      </c>
      <c r="C54" s="13" t="s">
        <v>49</v>
      </c>
      <c r="D54" s="13" t="s">
        <v>50</v>
      </c>
      <c r="E54" s="13">
        <v>12</v>
      </c>
      <c r="F54" s="13">
        <v>50</v>
      </c>
      <c r="G54" s="30">
        <v>45358</v>
      </c>
      <c r="H54" s="32">
        <f t="shared" si="0"/>
        <v>600</v>
      </c>
    </row>
    <row r="55" spans="1:8" x14ac:dyDescent="0.25">
      <c r="A55" s="13">
        <v>1050</v>
      </c>
      <c r="B55" s="13" t="s">
        <v>106</v>
      </c>
      <c r="C55" s="13" t="s">
        <v>52</v>
      </c>
      <c r="D55" s="13" t="s">
        <v>53</v>
      </c>
      <c r="E55" s="13">
        <v>25</v>
      </c>
      <c r="F55" s="13">
        <v>10</v>
      </c>
      <c r="G55" s="30">
        <v>45359</v>
      </c>
      <c r="H55" s="32">
        <f t="shared" si="0"/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5"/>
  <sheetViews>
    <sheetView workbookViewId="0">
      <selection activeCell="A5" sqref="A5:H55"/>
    </sheetView>
  </sheetViews>
  <sheetFormatPr defaultRowHeight="15" x14ac:dyDescent="0.25"/>
  <cols>
    <col min="2" max="2" width="16.5703125" customWidth="1"/>
    <col min="4" max="4" width="11.28515625" customWidth="1"/>
    <col min="7" max="7" width="11.5703125" customWidth="1"/>
  </cols>
  <sheetData>
    <row r="2" spans="1:16" ht="18.75" x14ac:dyDescent="0.3">
      <c r="E2" s="8" t="s">
        <v>115</v>
      </c>
      <c r="F2" s="9"/>
      <c r="G2" s="9"/>
      <c r="H2" s="9"/>
      <c r="I2" s="9"/>
      <c r="J2" s="9"/>
      <c r="K2" s="9"/>
      <c r="L2" s="9"/>
    </row>
    <row r="5" spans="1:16" x14ac:dyDescent="0.25">
      <c r="A5" s="13" t="s">
        <v>41</v>
      </c>
      <c r="B5" s="13" t="s">
        <v>42</v>
      </c>
      <c r="C5" s="13" t="s">
        <v>43</v>
      </c>
      <c r="D5" s="13" t="s">
        <v>44</v>
      </c>
      <c r="E5" s="13" t="s">
        <v>45</v>
      </c>
      <c r="F5" s="13" t="s">
        <v>46</v>
      </c>
      <c r="G5" s="14" t="s">
        <v>47</v>
      </c>
      <c r="H5" s="33" t="s">
        <v>113</v>
      </c>
    </row>
    <row r="6" spans="1:16" x14ac:dyDescent="0.25">
      <c r="A6" s="13">
        <v>1001</v>
      </c>
      <c r="B6" s="13" t="s">
        <v>48</v>
      </c>
      <c r="C6" s="13" t="s">
        <v>49</v>
      </c>
      <c r="D6" s="13" t="s">
        <v>50</v>
      </c>
      <c r="E6" s="13">
        <v>10</v>
      </c>
      <c r="F6" s="13">
        <v>50</v>
      </c>
      <c r="G6" s="30">
        <v>45296</v>
      </c>
      <c r="H6" s="29">
        <f>PRODUCT(E6:F6)</f>
        <v>500</v>
      </c>
    </row>
    <row r="7" spans="1:16" x14ac:dyDescent="0.25">
      <c r="A7" s="13">
        <v>1002</v>
      </c>
      <c r="B7" s="13" t="s">
        <v>51</v>
      </c>
      <c r="C7" s="13" t="s">
        <v>52</v>
      </c>
      <c r="D7" s="13" t="s">
        <v>53</v>
      </c>
      <c r="E7" s="13">
        <v>20</v>
      </c>
      <c r="F7" s="13">
        <v>10</v>
      </c>
      <c r="G7" s="30">
        <v>45297</v>
      </c>
      <c r="H7" s="29">
        <f t="shared" ref="H7:H55" si="0">PRODUCT(E7:F7)</f>
        <v>200</v>
      </c>
    </row>
    <row r="8" spans="1:16" x14ac:dyDescent="0.25">
      <c r="A8" s="13">
        <v>1003</v>
      </c>
      <c r="B8" s="13" t="s">
        <v>54</v>
      </c>
      <c r="C8" s="13" t="s">
        <v>55</v>
      </c>
      <c r="D8" s="13" t="s">
        <v>56</v>
      </c>
      <c r="E8" s="13">
        <v>15</v>
      </c>
      <c r="F8" s="13">
        <v>25</v>
      </c>
      <c r="G8" s="30">
        <v>45298</v>
      </c>
      <c r="H8" s="29">
        <f t="shared" si="0"/>
        <v>375</v>
      </c>
      <c r="L8" t="s">
        <v>116</v>
      </c>
    </row>
    <row r="9" spans="1:16" x14ac:dyDescent="0.25">
      <c r="A9" s="13">
        <v>1004</v>
      </c>
      <c r="B9" s="13" t="s">
        <v>57</v>
      </c>
      <c r="C9" s="13" t="s">
        <v>58</v>
      </c>
      <c r="D9" s="13" t="s">
        <v>50</v>
      </c>
      <c r="E9" s="13">
        <v>5</v>
      </c>
      <c r="F9" s="13">
        <v>50</v>
      </c>
      <c r="G9" s="30">
        <v>45299</v>
      </c>
      <c r="H9" s="29">
        <f t="shared" si="0"/>
        <v>250</v>
      </c>
    </row>
    <row r="10" spans="1:16" x14ac:dyDescent="0.25">
      <c r="A10" s="13">
        <v>1005</v>
      </c>
      <c r="B10" s="13" t="s">
        <v>59</v>
      </c>
      <c r="C10" s="13" t="s">
        <v>49</v>
      </c>
      <c r="D10" s="13" t="s">
        <v>60</v>
      </c>
      <c r="E10" s="13">
        <v>30</v>
      </c>
      <c r="F10" s="13">
        <v>5</v>
      </c>
      <c r="G10" s="30">
        <v>45301</v>
      </c>
      <c r="H10" s="29">
        <f t="shared" si="0"/>
        <v>150</v>
      </c>
      <c r="M10" s="6">
        <f>SUMIFS(H6:H55,D6:D55,"Notebook",C6:C55,"North")</f>
        <v>2900</v>
      </c>
    </row>
    <row r="11" spans="1:16" x14ac:dyDescent="0.25">
      <c r="A11" s="13">
        <v>1006</v>
      </c>
      <c r="B11" s="13" t="s">
        <v>61</v>
      </c>
      <c r="C11" s="13" t="s">
        <v>52</v>
      </c>
      <c r="D11" s="13" t="s">
        <v>50</v>
      </c>
      <c r="E11" s="13">
        <v>12</v>
      </c>
      <c r="F11" s="13">
        <v>50</v>
      </c>
      <c r="G11" s="30">
        <v>45302</v>
      </c>
      <c r="H11" s="29">
        <f t="shared" si="0"/>
        <v>600</v>
      </c>
    </row>
    <row r="12" spans="1:16" x14ac:dyDescent="0.25">
      <c r="A12" s="13">
        <v>1007</v>
      </c>
      <c r="B12" s="13" t="s">
        <v>62</v>
      </c>
      <c r="C12" s="13" t="s">
        <v>55</v>
      </c>
      <c r="D12" s="13" t="s">
        <v>63</v>
      </c>
      <c r="E12" s="13">
        <v>25</v>
      </c>
      <c r="F12" s="13">
        <v>8</v>
      </c>
      <c r="G12" s="30">
        <v>45304</v>
      </c>
      <c r="H12" s="29">
        <f t="shared" si="0"/>
        <v>200</v>
      </c>
      <c r="L12" s="5" t="s">
        <v>118</v>
      </c>
    </row>
    <row r="13" spans="1:16" x14ac:dyDescent="0.25">
      <c r="A13" s="13">
        <v>1008</v>
      </c>
      <c r="B13" s="13" t="s">
        <v>64</v>
      </c>
      <c r="C13" s="13" t="s">
        <v>58</v>
      </c>
      <c r="D13" s="13" t="s">
        <v>53</v>
      </c>
      <c r="E13" s="13">
        <v>18</v>
      </c>
      <c r="F13" s="13">
        <v>10</v>
      </c>
      <c r="G13" s="30">
        <v>45306</v>
      </c>
      <c r="H13" s="29">
        <f t="shared" si="0"/>
        <v>180</v>
      </c>
      <c r="L13" s="10" t="s">
        <v>117</v>
      </c>
      <c r="M13" s="10"/>
      <c r="N13" s="10"/>
      <c r="O13" s="10"/>
      <c r="P13" s="10"/>
    </row>
    <row r="14" spans="1:16" x14ac:dyDescent="0.25">
      <c r="A14" s="13">
        <v>1009</v>
      </c>
      <c r="B14" s="13" t="s">
        <v>65</v>
      </c>
      <c r="C14" s="13" t="s">
        <v>49</v>
      </c>
      <c r="D14" s="13" t="s">
        <v>56</v>
      </c>
      <c r="E14" s="13">
        <v>22</v>
      </c>
      <c r="F14" s="13">
        <v>25</v>
      </c>
      <c r="G14" s="30">
        <v>45308</v>
      </c>
      <c r="H14" s="29">
        <f t="shared" si="0"/>
        <v>550</v>
      </c>
    </row>
    <row r="15" spans="1:16" x14ac:dyDescent="0.25">
      <c r="A15" s="13">
        <v>1010</v>
      </c>
      <c r="B15" s="13" t="s">
        <v>66</v>
      </c>
      <c r="C15" s="13" t="s">
        <v>52</v>
      </c>
      <c r="D15" s="13" t="s">
        <v>50</v>
      </c>
      <c r="E15" s="13">
        <v>8</v>
      </c>
      <c r="F15" s="13">
        <v>50</v>
      </c>
      <c r="G15" s="30">
        <v>45309</v>
      </c>
      <c r="H15" s="29">
        <f t="shared" si="0"/>
        <v>400</v>
      </c>
    </row>
    <row r="16" spans="1:16" x14ac:dyDescent="0.25">
      <c r="A16" s="13">
        <v>1011</v>
      </c>
      <c r="B16" s="13" t="s">
        <v>67</v>
      </c>
      <c r="C16" s="13" t="s">
        <v>55</v>
      </c>
      <c r="D16" s="13" t="s">
        <v>60</v>
      </c>
      <c r="E16" s="13">
        <v>40</v>
      </c>
      <c r="F16" s="13">
        <v>5</v>
      </c>
      <c r="G16" s="30">
        <v>45310</v>
      </c>
      <c r="H16" s="29">
        <f t="shared" si="0"/>
        <v>200</v>
      </c>
    </row>
    <row r="17" spans="1:8" x14ac:dyDescent="0.25">
      <c r="A17" s="13">
        <v>1012</v>
      </c>
      <c r="B17" s="13" t="s">
        <v>68</v>
      </c>
      <c r="C17" s="13" t="s">
        <v>58</v>
      </c>
      <c r="D17" s="13" t="s">
        <v>63</v>
      </c>
      <c r="E17" s="13">
        <v>35</v>
      </c>
      <c r="F17" s="13">
        <v>8</v>
      </c>
      <c r="G17" s="30">
        <v>45311</v>
      </c>
      <c r="H17" s="29">
        <f t="shared" si="0"/>
        <v>280</v>
      </c>
    </row>
    <row r="18" spans="1:8" x14ac:dyDescent="0.25">
      <c r="A18" s="13">
        <v>1013</v>
      </c>
      <c r="B18" s="13" t="s">
        <v>69</v>
      </c>
      <c r="C18" s="13" t="s">
        <v>49</v>
      </c>
      <c r="D18" s="13" t="s">
        <v>50</v>
      </c>
      <c r="E18" s="13">
        <v>14</v>
      </c>
      <c r="F18" s="13">
        <v>50</v>
      </c>
      <c r="G18" s="30">
        <v>45313</v>
      </c>
      <c r="H18" s="29">
        <f t="shared" si="0"/>
        <v>700</v>
      </c>
    </row>
    <row r="19" spans="1:8" x14ac:dyDescent="0.25">
      <c r="A19" s="13">
        <v>1014</v>
      </c>
      <c r="B19" s="13" t="s">
        <v>70</v>
      </c>
      <c r="C19" s="13" t="s">
        <v>52</v>
      </c>
      <c r="D19" s="13" t="s">
        <v>53</v>
      </c>
      <c r="E19" s="13">
        <v>28</v>
      </c>
      <c r="F19" s="13">
        <v>10</v>
      </c>
      <c r="G19" s="30">
        <v>45314</v>
      </c>
      <c r="H19" s="29">
        <f t="shared" si="0"/>
        <v>280</v>
      </c>
    </row>
    <row r="20" spans="1:8" x14ac:dyDescent="0.25">
      <c r="A20" s="13">
        <v>1015</v>
      </c>
      <c r="B20" s="13" t="s">
        <v>71</v>
      </c>
      <c r="C20" s="13" t="s">
        <v>55</v>
      </c>
      <c r="D20" s="13" t="s">
        <v>56</v>
      </c>
      <c r="E20" s="13">
        <v>12</v>
      </c>
      <c r="F20" s="13">
        <v>25</v>
      </c>
      <c r="G20" s="30">
        <v>45315</v>
      </c>
      <c r="H20" s="29">
        <f t="shared" si="0"/>
        <v>300</v>
      </c>
    </row>
    <row r="21" spans="1:8" x14ac:dyDescent="0.25">
      <c r="A21" s="13">
        <v>1016</v>
      </c>
      <c r="B21" s="13" t="s">
        <v>72</v>
      </c>
      <c r="C21" s="13" t="s">
        <v>58</v>
      </c>
      <c r="D21" s="13" t="s">
        <v>60</v>
      </c>
      <c r="E21" s="13">
        <v>25</v>
      </c>
      <c r="F21" s="13">
        <v>5</v>
      </c>
      <c r="G21" s="30">
        <v>45317</v>
      </c>
      <c r="H21" s="29">
        <f t="shared" si="0"/>
        <v>125</v>
      </c>
    </row>
    <row r="22" spans="1:8" x14ac:dyDescent="0.25">
      <c r="A22" s="13">
        <v>1017</v>
      </c>
      <c r="B22" s="13" t="s">
        <v>73</v>
      </c>
      <c r="C22" s="13" t="s">
        <v>49</v>
      </c>
      <c r="D22" s="13" t="s">
        <v>63</v>
      </c>
      <c r="E22" s="13">
        <v>20</v>
      </c>
      <c r="F22" s="13">
        <v>8</v>
      </c>
      <c r="G22" s="30">
        <v>45319</v>
      </c>
      <c r="H22" s="29">
        <f t="shared" si="0"/>
        <v>160</v>
      </c>
    </row>
    <row r="23" spans="1:8" x14ac:dyDescent="0.25">
      <c r="A23" s="13">
        <v>1018</v>
      </c>
      <c r="B23" s="13" t="s">
        <v>74</v>
      </c>
      <c r="C23" s="13" t="s">
        <v>52</v>
      </c>
      <c r="D23" s="13" t="s">
        <v>50</v>
      </c>
      <c r="E23" s="13">
        <v>10</v>
      </c>
      <c r="F23" s="13">
        <v>50</v>
      </c>
      <c r="G23" s="30">
        <v>45320</v>
      </c>
      <c r="H23" s="29">
        <f t="shared" si="0"/>
        <v>500</v>
      </c>
    </row>
    <row r="24" spans="1:8" x14ac:dyDescent="0.25">
      <c r="A24" s="13">
        <v>1019</v>
      </c>
      <c r="B24" s="13" t="s">
        <v>75</v>
      </c>
      <c r="C24" s="13" t="s">
        <v>55</v>
      </c>
      <c r="D24" s="13" t="s">
        <v>53</v>
      </c>
      <c r="E24" s="13">
        <v>15</v>
      </c>
      <c r="F24" s="13">
        <v>10</v>
      </c>
      <c r="G24" s="30">
        <v>45321</v>
      </c>
      <c r="H24" s="29">
        <f t="shared" si="0"/>
        <v>150</v>
      </c>
    </row>
    <row r="25" spans="1:8" x14ac:dyDescent="0.25">
      <c r="A25" s="13">
        <v>1020</v>
      </c>
      <c r="B25" s="13" t="s">
        <v>76</v>
      </c>
      <c r="C25" s="13" t="s">
        <v>58</v>
      </c>
      <c r="D25" s="13" t="s">
        <v>56</v>
      </c>
      <c r="E25" s="13">
        <v>18</v>
      </c>
      <c r="F25" s="13">
        <v>25</v>
      </c>
      <c r="G25" s="30">
        <v>45323</v>
      </c>
      <c r="H25" s="29">
        <f t="shared" si="0"/>
        <v>450</v>
      </c>
    </row>
    <row r="26" spans="1:8" x14ac:dyDescent="0.25">
      <c r="A26" s="13">
        <v>1021</v>
      </c>
      <c r="B26" s="13" t="s">
        <v>77</v>
      </c>
      <c r="C26" s="13" t="s">
        <v>49</v>
      </c>
      <c r="D26" s="13" t="s">
        <v>50</v>
      </c>
      <c r="E26" s="13">
        <v>9</v>
      </c>
      <c r="F26" s="13">
        <v>50</v>
      </c>
      <c r="G26" s="30">
        <v>45324</v>
      </c>
      <c r="H26" s="29">
        <f t="shared" si="0"/>
        <v>450</v>
      </c>
    </row>
    <row r="27" spans="1:8" x14ac:dyDescent="0.25">
      <c r="A27" s="13">
        <v>1022</v>
      </c>
      <c r="B27" s="13" t="s">
        <v>78</v>
      </c>
      <c r="C27" s="13" t="s">
        <v>52</v>
      </c>
      <c r="D27" s="13" t="s">
        <v>60</v>
      </c>
      <c r="E27" s="13">
        <v>35</v>
      </c>
      <c r="F27" s="13">
        <v>5</v>
      </c>
      <c r="G27" s="30">
        <v>45325</v>
      </c>
      <c r="H27" s="29">
        <f t="shared" si="0"/>
        <v>175</v>
      </c>
    </row>
    <row r="28" spans="1:8" x14ac:dyDescent="0.25">
      <c r="A28" s="13">
        <v>1023</v>
      </c>
      <c r="B28" s="13" t="s">
        <v>79</v>
      </c>
      <c r="C28" s="13" t="s">
        <v>55</v>
      </c>
      <c r="D28" s="13" t="s">
        <v>63</v>
      </c>
      <c r="E28" s="13">
        <v>30</v>
      </c>
      <c r="F28" s="13">
        <v>8</v>
      </c>
      <c r="G28" s="30">
        <v>45326</v>
      </c>
      <c r="H28" s="29">
        <f t="shared" si="0"/>
        <v>240</v>
      </c>
    </row>
    <row r="29" spans="1:8" x14ac:dyDescent="0.25">
      <c r="A29" s="13">
        <v>1024</v>
      </c>
      <c r="B29" s="13" t="s">
        <v>80</v>
      </c>
      <c r="C29" s="13" t="s">
        <v>58</v>
      </c>
      <c r="D29" s="13" t="s">
        <v>50</v>
      </c>
      <c r="E29" s="13">
        <v>11</v>
      </c>
      <c r="F29" s="13">
        <v>50</v>
      </c>
      <c r="G29" s="30">
        <v>45328</v>
      </c>
      <c r="H29" s="29">
        <f t="shared" si="0"/>
        <v>550</v>
      </c>
    </row>
    <row r="30" spans="1:8" x14ac:dyDescent="0.25">
      <c r="A30" s="13">
        <v>1025</v>
      </c>
      <c r="B30" s="13" t="s">
        <v>81</v>
      </c>
      <c r="C30" s="13" t="s">
        <v>49</v>
      </c>
      <c r="D30" s="13" t="s">
        <v>53</v>
      </c>
      <c r="E30" s="13">
        <v>14</v>
      </c>
      <c r="F30" s="13">
        <v>10</v>
      </c>
      <c r="G30" s="30">
        <v>45329</v>
      </c>
      <c r="H30" s="29">
        <f t="shared" si="0"/>
        <v>140</v>
      </c>
    </row>
    <row r="31" spans="1:8" x14ac:dyDescent="0.25">
      <c r="A31" s="13">
        <v>1026</v>
      </c>
      <c r="B31" s="13" t="s">
        <v>82</v>
      </c>
      <c r="C31" s="13" t="s">
        <v>52</v>
      </c>
      <c r="D31" s="13" t="s">
        <v>56</v>
      </c>
      <c r="E31" s="13">
        <v>16</v>
      </c>
      <c r="F31" s="13">
        <v>25</v>
      </c>
      <c r="G31" s="30">
        <v>45330</v>
      </c>
      <c r="H31" s="29">
        <f t="shared" si="0"/>
        <v>400</v>
      </c>
    </row>
    <row r="32" spans="1:8" x14ac:dyDescent="0.25">
      <c r="A32" s="13">
        <v>1027</v>
      </c>
      <c r="B32" s="13" t="s">
        <v>83</v>
      </c>
      <c r="C32" s="13" t="s">
        <v>55</v>
      </c>
      <c r="D32" s="13" t="s">
        <v>60</v>
      </c>
      <c r="E32" s="13">
        <v>22</v>
      </c>
      <c r="F32" s="13">
        <v>5</v>
      </c>
      <c r="G32" s="30">
        <v>45331</v>
      </c>
      <c r="H32" s="29">
        <f t="shared" si="0"/>
        <v>110</v>
      </c>
    </row>
    <row r="33" spans="1:8" x14ac:dyDescent="0.25">
      <c r="A33" s="13">
        <v>1028</v>
      </c>
      <c r="B33" s="13" t="s">
        <v>84</v>
      </c>
      <c r="C33" s="13" t="s">
        <v>58</v>
      </c>
      <c r="D33" s="13" t="s">
        <v>63</v>
      </c>
      <c r="E33" s="13">
        <v>27</v>
      </c>
      <c r="F33" s="13">
        <v>8</v>
      </c>
      <c r="G33" s="30">
        <v>45332</v>
      </c>
      <c r="H33" s="29">
        <f t="shared" si="0"/>
        <v>216</v>
      </c>
    </row>
    <row r="34" spans="1:8" x14ac:dyDescent="0.25">
      <c r="A34" s="13">
        <v>1029</v>
      </c>
      <c r="B34" s="13" t="s">
        <v>85</v>
      </c>
      <c r="C34" s="13" t="s">
        <v>49</v>
      </c>
      <c r="D34" s="13" t="s">
        <v>50</v>
      </c>
      <c r="E34" s="13">
        <v>13</v>
      </c>
      <c r="F34" s="13">
        <v>50</v>
      </c>
      <c r="G34" s="30">
        <v>45334</v>
      </c>
      <c r="H34" s="29">
        <f t="shared" si="0"/>
        <v>650</v>
      </c>
    </row>
    <row r="35" spans="1:8" x14ac:dyDescent="0.25">
      <c r="A35" s="13">
        <v>1030</v>
      </c>
      <c r="B35" s="13" t="s">
        <v>86</v>
      </c>
      <c r="C35" s="13" t="s">
        <v>52</v>
      </c>
      <c r="D35" s="13" t="s">
        <v>53</v>
      </c>
      <c r="E35" s="13">
        <v>32</v>
      </c>
      <c r="F35" s="13">
        <v>10</v>
      </c>
      <c r="G35" s="30">
        <v>45335</v>
      </c>
      <c r="H35" s="29">
        <f t="shared" si="0"/>
        <v>320</v>
      </c>
    </row>
    <row r="36" spans="1:8" x14ac:dyDescent="0.25">
      <c r="A36" s="13">
        <v>1031</v>
      </c>
      <c r="B36" s="13" t="s">
        <v>87</v>
      </c>
      <c r="C36" s="13" t="s">
        <v>55</v>
      </c>
      <c r="D36" s="13" t="s">
        <v>56</v>
      </c>
      <c r="E36" s="13">
        <v>10</v>
      </c>
      <c r="F36" s="13">
        <v>25</v>
      </c>
      <c r="G36" s="30">
        <v>45336</v>
      </c>
      <c r="H36" s="29">
        <f t="shared" si="0"/>
        <v>250</v>
      </c>
    </row>
    <row r="37" spans="1:8" x14ac:dyDescent="0.25">
      <c r="A37" s="13">
        <v>1032</v>
      </c>
      <c r="B37" s="13" t="s">
        <v>88</v>
      </c>
      <c r="C37" s="13" t="s">
        <v>58</v>
      </c>
      <c r="D37" s="13" t="s">
        <v>60</v>
      </c>
      <c r="E37" s="13">
        <v>18</v>
      </c>
      <c r="F37" s="13">
        <v>5</v>
      </c>
      <c r="G37" s="30">
        <v>45338</v>
      </c>
      <c r="H37" s="29">
        <f t="shared" si="0"/>
        <v>90</v>
      </c>
    </row>
    <row r="38" spans="1:8" x14ac:dyDescent="0.25">
      <c r="A38" s="13">
        <v>1033</v>
      </c>
      <c r="B38" s="13" t="s">
        <v>89</v>
      </c>
      <c r="C38" s="13" t="s">
        <v>49</v>
      </c>
      <c r="D38" s="13" t="s">
        <v>63</v>
      </c>
      <c r="E38" s="13">
        <v>22</v>
      </c>
      <c r="F38" s="13">
        <v>8</v>
      </c>
      <c r="G38" s="30">
        <v>45339</v>
      </c>
      <c r="H38" s="29">
        <f t="shared" si="0"/>
        <v>176</v>
      </c>
    </row>
    <row r="39" spans="1:8" x14ac:dyDescent="0.25">
      <c r="A39" s="13">
        <v>1034</v>
      </c>
      <c r="B39" s="13" t="s">
        <v>90</v>
      </c>
      <c r="C39" s="13" t="s">
        <v>52</v>
      </c>
      <c r="D39" s="13" t="s">
        <v>50</v>
      </c>
      <c r="E39" s="13">
        <v>17</v>
      </c>
      <c r="F39" s="13">
        <v>50</v>
      </c>
      <c r="G39" s="30">
        <v>45340</v>
      </c>
      <c r="H39" s="29">
        <f t="shared" si="0"/>
        <v>850</v>
      </c>
    </row>
    <row r="40" spans="1:8" x14ac:dyDescent="0.25">
      <c r="A40" s="13">
        <v>1035</v>
      </c>
      <c r="B40" s="13" t="s">
        <v>91</v>
      </c>
      <c r="C40" s="13" t="s">
        <v>55</v>
      </c>
      <c r="D40" s="13" t="s">
        <v>53</v>
      </c>
      <c r="E40" s="13">
        <v>19</v>
      </c>
      <c r="F40" s="13">
        <v>10</v>
      </c>
      <c r="G40" s="30">
        <v>45341</v>
      </c>
      <c r="H40" s="29">
        <f t="shared" si="0"/>
        <v>190</v>
      </c>
    </row>
    <row r="41" spans="1:8" x14ac:dyDescent="0.25">
      <c r="A41" s="13">
        <v>1036</v>
      </c>
      <c r="B41" s="13" t="s">
        <v>92</v>
      </c>
      <c r="C41" s="13" t="s">
        <v>58</v>
      </c>
      <c r="D41" s="13" t="s">
        <v>56</v>
      </c>
      <c r="E41" s="13">
        <v>15</v>
      </c>
      <c r="F41" s="13">
        <v>25</v>
      </c>
      <c r="G41" s="30">
        <v>45343</v>
      </c>
      <c r="H41" s="29">
        <f t="shared" si="0"/>
        <v>375</v>
      </c>
    </row>
    <row r="42" spans="1:8" x14ac:dyDescent="0.25">
      <c r="A42" s="13">
        <v>1037</v>
      </c>
      <c r="B42" s="13" t="s">
        <v>93</v>
      </c>
      <c r="C42" s="13" t="s">
        <v>49</v>
      </c>
      <c r="D42" s="13" t="s">
        <v>60</v>
      </c>
      <c r="E42" s="13">
        <v>28</v>
      </c>
      <c r="F42" s="13">
        <v>5</v>
      </c>
      <c r="G42" s="30">
        <v>45344</v>
      </c>
      <c r="H42" s="29">
        <f t="shared" si="0"/>
        <v>140</v>
      </c>
    </row>
    <row r="43" spans="1:8" x14ac:dyDescent="0.25">
      <c r="A43" s="13">
        <v>1038</v>
      </c>
      <c r="B43" s="13" t="s">
        <v>94</v>
      </c>
      <c r="C43" s="13" t="s">
        <v>52</v>
      </c>
      <c r="D43" s="13" t="s">
        <v>63</v>
      </c>
      <c r="E43" s="13">
        <v>24</v>
      </c>
      <c r="F43" s="13">
        <v>8</v>
      </c>
      <c r="G43" s="30">
        <v>45345</v>
      </c>
      <c r="H43" s="29">
        <f t="shared" si="0"/>
        <v>192</v>
      </c>
    </row>
    <row r="44" spans="1:8" x14ac:dyDescent="0.25">
      <c r="A44" s="13">
        <v>1039</v>
      </c>
      <c r="B44" s="13" t="s">
        <v>95</v>
      </c>
      <c r="C44" s="13" t="s">
        <v>55</v>
      </c>
      <c r="D44" s="13" t="s">
        <v>50</v>
      </c>
      <c r="E44" s="13">
        <v>16</v>
      </c>
      <c r="F44" s="13">
        <v>50</v>
      </c>
      <c r="G44" s="30">
        <v>45347</v>
      </c>
      <c r="H44" s="29">
        <f t="shared" si="0"/>
        <v>800</v>
      </c>
    </row>
    <row r="45" spans="1:8" x14ac:dyDescent="0.25">
      <c r="A45" s="13">
        <v>1040</v>
      </c>
      <c r="B45" s="13" t="s">
        <v>96</v>
      </c>
      <c r="C45" s="13" t="s">
        <v>58</v>
      </c>
      <c r="D45" s="13" t="s">
        <v>53</v>
      </c>
      <c r="E45" s="13">
        <v>27</v>
      </c>
      <c r="F45" s="13">
        <v>10</v>
      </c>
      <c r="G45" s="30">
        <v>45348</v>
      </c>
      <c r="H45" s="29">
        <f t="shared" si="0"/>
        <v>270</v>
      </c>
    </row>
    <row r="46" spans="1:8" x14ac:dyDescent="0.25">
      <c r="A46" s="13">
        <v>1041</v>
      </c>
      <c r="B46" s="13" t="s">
        <v>97</v>
      </c>
      <c r="C46" s="13" t="s">
        <v>49</v>
      </c>
      <c r="D46" s="13" t="s">
        <v>56</v>
      </c>
      <c r="E46" s="13">
        <v>21</v>
      </c>
      <c r="F46" s="13">
        <v>25</v>
      </c>
      <c r="G46" s="30">
        <v>45349</v>
      </c>
      <c r="H46" s="29">
        <f t="shared" si="0"/>
        <v>525</v>
      </c>
    </row>
    <row r="47" spans="1:8" x14ac:dyDescent="0.25">
      <c r="A47" s="13">
        <v>1042</v>
      </c>
      <c r="B47" s="13" t="s">
        <v>98</v>
      </c>
      <c r="C47" s="13" t="s">
        <v>52</v>
      </c>
      <c r="D47" s="13" t="s">
        <v>60</v>
      </c>
      <c r="E47" s="13">
        <v>30</v>
      </c>
      <c r="F47" s="13">
        <v>5</v>
      </c>
      <c r="G47" s="30">
        <v>45350</v>
      </c>
      <c r="H47" s="29">
        <f t="shared" si="0"/>
        <v>150</v>
      </c>
    </row>
    <row r="48" spans="1:8" x14ac:dyDescent="0.25">
      <c r="A48" s="13">
        <v>1043</v>
      </c>
      <c r="B48" s="13" t="s">
        <v>99</v>
      </c>
      <c r="C48" s="13" t="s">
        <v>55</v>
      </c>
      <c r="D48" s="13" t="s">
        <v>63</v>
      </c>
      <c r="E48" s="13">
        <v>26</v>
      </c>
      <c r="F48" s="13">
        <v>8</v>
      </c>
      <c r="G48" s="30">
        <v>45352</v>
      </c>
      <c r="H48" s="29">
        <f t="shared" si="0"/>
        <v>208</v>
      </c>
    </row>
    <row r="49" spans="1:8" x14ac:dyDescent="0.25">
      <c r="A49" s="13">
        <v>1044</v>
      </c>
      <c r="B49" s="13" t="s">
        <v>100</v>
      </c>
      <c r="C49" s="13" t="s">
        <v>58</v>
      </c>
      <c r="D49" s="13" t="s">
        <v>50</v>
      </c>
      <c r="E49" s="13">
        <v>14</v>
      </c>
      <c r="F49" s="13">
        <v>50</v>
      </c>
      <c r="G49" s="30">
        <v>45353</v>
      </c>
      <c r="H49" s="29">
        <f t="shared" si="0"/>
        <v>700</v>
      </c>
    </row>
    <row r="50" spans="1:8" x14ac:dyDescent="0.25">
      <c r="A50" s="13">
        <v>1045</v>
      </c>
      <c r="B50" s="13" t="s">
        <v>101</v>
      </c>
      <c r="C50" s="13" t="s">
        <v>49</v>
      </c>
      <c r="D50" s="13" t="s">
        <v>53</v>
      </c>
      <c r="E50" s="13">
        <v>20</v>
      </c>
      <c r="F50" s="13">
        <v>10</v>
      </c>
      <c r="G50" s="30">
        <v>45354</v>
      </c>
      <c r="H50" s="29">
        <f t="shared" si="0"/>
        <v>200</v>
      </c>
    </row>
    <row r="51" spans="1:8" x14ac:dyDescent="0.25">
      <c r="A51" s="13">
        <v>1046</v>
      </c>
      <c r="B51" s="13" t="s">
        <v>102</v>
      </c>
      <c r="C51" s="13" t="s">
        <v>52</v>
      </c>
      <c r="D51" s="13" t="s">
        <v>56</v>
      </c>
      <c r="E51" s="13">
        <v>17</v>
      </c>
      <c r="F51" s="13">
        <v>25</v>
      </c>
      <c r="G51" s="30">
        <v>45355</v>
      </c>
      <c r="H51" s="29">
        <f t="shared" si="0"/>
        <v>425</v>
      </c>
    </row>
    <row r="52" spans="1:8" x14ac:dyDescent="0.25">
      <c r="A52" s="13">
        <v>1047</v>
      </c>
      <c r="B52" s="13" t="s">
        <v>103</v>
      </c>
      <c r="C52" s="13" t="s">
        <v>55</v>
      </c>
      <c r="D52" s="13" t="s">
        <v>60</v>
      </c>
      <c r="E52" s="13">
        <v>19</v>
      </c>
      <c r="F52" s="13">
        <v>5</v>
      </c>
      <c r="G52" s="30">
        <v>45356</v>
      </c>
      <c r="H52" s="29">
        <f t="shared" si="0"/>
        <v>95</v>
      </c>
    </row>
    <row r="53" spans="1:8" x14ac:dyDescent="0.25">
      <c r="A53" s="13">
        <v>1048</v>
      </c>
      <c r="B53" s="13" t="s">
        <v>104</v>
      </c>
      <c r="C53" s="13" t="s">
        <v>58</v>
      </c>
      <c r="D53" s="13" t="s">
        <v>63</v>
      </c>
      <c r="E53" s="13">
        <v>32</v>
      </c>
      <c r="F53" s="13">
        <v>8</v>
      </c>
      <c r="G53" s="30">
        <v>45357</v>
      </c>
      <c r="H53" s="29">
        <f t="shared" si="0"/>
        <v>256</v>
      </c>
    </row>
    <row r="54" spans="1:8" x14ac:dyDescent="0.25">
      <c r="A54" s="13">
        <v>1049</v>
      </c>
      <c r="B54" s="13" t="s">
        <v>105</v>
      </c>
      <c r="C54" s="13" t="s">
        <v>49</v>
      </c>
      <c r="D54" s="13" t="s">
        <v>50</v>
      </c>
      <c r="E54" s="13">
        <v>12</v>
      </c>
      <c r="F54" s="13">
        <v>50</v>
      </c>
      <c r="G54" s="30">
        <v>45358</v>
      </c>
      <c r="H54" s="29">
        <f t="shared" si="0"/>
        <v>600</v>
      </c>
    </row>
    <row r="55" spans="1:8" x14ac:dyDescent="0.25">
      <c r="A55" s="13">
        <v>1050</v>
      </c>
      <c r="B55" s="13" t="s">
        <v>106</v>
      </c>
      <c r="C55" s="13" t="s">
        <v>52</v>
      </c>
      <c r="D55" s="13" t="s">
        <v>53</v>
      </c>
      <c r="E55" s="13">
        <v>25</v>
      </c>
      <c r="F55" s="13">
        <v>10</v>
      </c>
      <c r="G55" s="30">
        <v>45359</v>
      </c>
      <c r="H55" s="29">
        <f t="shared" si="0"/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4"/>
  <sheetViews>
    <sheetView topLeftCell="A4" workbookViewId="0">
      <selection activeCell="A4" sqref="A4:H54"/>
    </sheetView>
  </sheetViews>
  <sheetFormatPr defaultRowHeight="15" x14ac:dyDescent="0.25"/>
  <cols>
    <col min="2" max="2" width="12.140625" customWidth="1"/>
    <col min="7" max="7" width="15.140625" customWidth="1"/>
    <col min="12" max="12" width="13.140625" bestFit="1" customWidth="1"/>
    <col min="13" max="13" width="12.7109375" bestFit="1" customWidth="1"/>
  </cols>
  <sheetData>
    <row r="2" spans="1:13" ht="18.75" x14ac:dyDescent="0.3">
      <c r="F2" s="8" t="s">
        <v>119</v>
      </c>
      <c r="G2" s="9"/>
      <c r="H2" s="9"/>
      <c r="I2" s="9"/>
      <c r="J2" s="9"/>
      <c r="K2" s="9"/>
    </row>
    <row r="4" spans="1:13" x14ac:dyDescent="0.25">
      <c r="A4" s="13" t="s">
        <v>41</v>
      </c>
      <c r="B4" s="13" t="s">
        <v>42</v>
      </c>
      <c r="C4" s="13" t="s">
        <v>43</v>
      </c>
      <c r="D4" s="13" t="s">
        <v>44</v>
      </c>
      <c r="E4" s="13" t="s">
        <v>45</v>
      </c>
      <c r="F4" s="13" t="s">
        <v>46</v>
      </c>
      <c r="G4" s="14" t="s">
        <v>47</v>
      </c>
      <c r="H4" s="33" t="s">
        <v>113</v>
      </c>
    </row>
    <row r="5" spans="1:13" x14ac:dyDescent="0.25">
      <c r="A5" s="13">
        <v>1001</v>
      </c>
      <c r="B5" s="13" t="s">
        <v>48</v>
      </c>
      <c r="C5" s="13" t="s">
        <v>49</v>
      </c>
      <c r="D5" s="13" t="s">
        <v>50</v>
      </c>
      <c r="E5" s="13">
        <v>10</v>
      </c>
      <c r="F5" s="13">
        <v>50</v>
      </c>
      <c r="G5" s="30">
        <v>45296</v>
      </c>
      <c r="H5" s="29">
        <f>PRODUCT(E5:F5)</f>
        <v>500</v>
      </c>
    </row>
    <row r="6" spans="1:13" x14ac:dyDescent="0.25">
      <c r="A6" s="13">
        <v>1002</v>
      </c>
      <c r="B6" s="13" t="s">
        <v>51</v>
      </c>
      <c r="C6" s="13" t="s">
        <v>52</v>
      </c>
      <c r="D6" s="13" t="s">
        <v>53</v>
      </c>
      <c r="E6" s="13">
        <v>20</v>
      </c>
      <c r="F6" s="13">
        <v>10</v>
      </c>
      <c r="G6" s="30">
        <v>45297</v>
      </c>
      <c r="H6" s="29">
        <f>PRODUCT(E6:F6)</f>
        <v>200</v>
      </c>
      <c r="L6" s="34" t="s">
        <v>120</v>
      </c>
      <c r="M6" t="s">
        <v>122</v>
      </c>
    </row>
    <row r="7" spans="1:13" x14ac:dyDescent="0.25">
      <c r="A7" s="13">
        <v>1003</v>
      </c>
      <c r="B7" s="13" t="s">
        <v>54</v>
      </c>
      <c r="C7" s="13" t="s">
        <v>55</v>
      </c>
      <c r="D7" s="13" t="s">
        <v>56</v>
      </c>
      <c r="E7" s="13">
        <v>15</v>
      </c>
      <c r="F7" s="13">
        <v>25</v>
      </c>
      <c r="G7" s="30">
        <v>45298</v>
      </c>
      <c r="H7" s="29">
        <f>PRODUCT(E7:F7)</f>
        <v>375</v>
      </c>
      <c r="K7" s="16"/>
      <c r="L7" s="35" t="s">
        <v>63</v>
      </c>
      <c r="M7" s="36">
        <v>1928</v>
      </c>
    </row>
    <row r="8" spans="1:13" x14ac:dyDescent="0.25">
      <c r="A8" s="13">
        <v>1004</v>
      </c>
      <c r="B8" s="13" t="s">
        <v>57</v>
      </c>
      <c r="C8" s="13" t="s">
        <v>58</v>
      </c>
      <c r="D8" s="13" t="s">
        <v>50</v>
      </c>
      <c r="E8" s="13">
        <v>5</v>
      </c>
      <c r="F8" s="13">
        <v>50</v>
      </c>
      <c r="G8" s="30">
        <v>45299</v>
      </c>
      <c r="H8" s="29">
        <f>PRODUCT(E8:F8)</f>
        <v>250</v>
      </c>
      <c r="K8" s="16"/>
      <c r="L8" s="35" t="s">
        <v>56</v>
      </c>
      <c r="M8" s="36">
        <v>3650</v>
      </c>
    </row>
    <row r="9" spans="1:13" x14ac:dyDescent="0.25">
      <c r="A9" s="13">
        <v>1005</v>
      </c>
      <c r="B9" s="13" t="s">
        <v>59</v>
      </c>
      <c r="C9" s="13" t="s">
        <v>49</v>
      </c>
      <c r="D9" s="13" t="s">
        <v>60</v>
      </c>
      <c r="E9" s="13">
        <v>30</v>
      </c>
      <c r="F9" s="13">
        <v>5</v>
      </c>
      <c r="G9" s="30">
        <v>45301</v>
      </c>
      <c r="H9" s="29">
        <f>PRODUCT(E9:F9)</f>
        <v>150</v>
      </c>
      <c r="K9" s="16"/>
      <c r="L9" s="35" t="s">
        <v>50</v>
      </c>
      <c r="M9" s="36">
        <v>7550</v>
      </c>
    </row>
    <row r="10" spans="1:13" x14ac:dyDescent="0.25">
      <c r="A10" s="13">
        <v>1006</v>
      </c>
      <c r="B10" s="13" t="s">
        <v>61</v>
      </c>
      <c r="C10" s="13" t="s">
        <v>52</v>
      </c>
      <c r="D10" s="13" t="s">
        <v>50</v>
      </c>
      <c r="E10" s="13">
        <v>12</v>
      </c>
      <c r="F10" s="13">
        <v>50</v>
      </c>
      <c r="G10" s="30">
        <v>45302</v>
      </c>
      <c r="H10" s="29">
        <f>PRODUCT(E10:F10)</f>
        <v>600</v>
      </c>
      <c r="K10" s="16"/>
      <c r="L10" s="35" t="s">
        <v>53</v>
      </c>
      <c r="M10" s="36">
        <v>2180</v>
      </c>
    </row>
    <row r="11" spans="1:13" x14ac:dyDescent="0.25">
      <c r="A11" s="13">
        <v>1007</v>
      </c>
      <c r="B11" s="13" t="s">
        <v>62</v>
      </c>
      <c r="C11" s="13" t="s">
        <v>55</v>
      </c>
      <c r="D11" s="13" t="s">
        <v>63</v>
      </c>
      <c r="E11" s="13">
        <v>25</v>
      </c>
      <c r="F11" s="13">
        <v>8</v>
      </c>
      <c r="G11" s="30">
        <v>45304</v>
      </c>
      <c r="H11" s="29">
        <f>PRODUCT(E11:F11)</f>
        <v>200</v>
      </c>
      <c r="K11" s="16"/>
      <c r="L11" s="35" t="s">
        <v>60</v>
      </c>
      <c r="M11" s="36">
        <v>1235</v>
      </c>
    </row>
    <row r="12" spans="1:13" x14ac:dyDescent="0.25">
      <c r="A12" s="13">
        <v>1008</v>
      </c>
      <c r="B12" s="13" t="s">
        <v>64</v>
      </c>
      <c r="C12" s="13" t="s">
        <v>58</v>
      </c>
      <c r="D12" s="13" t="s">
        <v>53</v>
      </c>
      <c r="E12" s="13">
        <v>18</v>
      </c>
      <c r="F12" s="13">
        <v>10</v>
      </c>
      <c r="G12" s="30">
        <v>45306</v>
      </c>
      <c r="H12" s="29">
        <f>PRODUCT(E12:F12)</f>
        <v>180</v>
      </c>
      <c r="K12" s="16"/>
      <c r="L12" s="35" t="s">
        <v>121</v>
      </c>
      <c r="M12" s="36">
        <v>16543</v>
      </c>
    </row>
    <row r="13" spans="1:13" x14ac:dyDescent="0.25">
      <c r="A13" s="13">
        <v>1009</v>
      </c>
      <c r="B13" s="13" t="s">
        <v>65</v>
      </c>
      <c r="C13" s="13" t="s">
        <v>49</v>
      </c>
      <c r="D13" s="13" t="s">
        <v>56</v>
      </c>
      <c r="E13" s="13">
        <v>22</v>
      </c>
      <c r="F13" s="13">
        <v>25</v>
      </c>
      <c r="G13" s="30">
        <v>45308</v>
      </c>
      <c r="H13" s="29">
        <f>PRODUCT(E13:F13)</f>
        <v>550</v>
      </c>
    </row>
    <row r="14" spans="1:13" x14ac:dyDescent="0.25">
      <c r="A14" s="13">
        <v>1010</v>
      </c>
      <c r="B14" s="13" t="s">
        <v>66</v>
      </c>
      <c r="C14" s="13" t="s">
        <v>52</v>
      </c>
      <c r="D14" s="13" t="s">
        <v>50</v>
      </c>
      <c r="E14" s="13">
        <v>8</v>
      </c>
      <c r="F14" s="13">
        <v>50</v>
      </c>
      <c r="G14" s="30">
        <v>45309</v>
      </c>
      <c r="H14" s="29">
        <f>PRODUCT(E14:F14)</f>
        <v>400</v>
      </c>
    </row>
    <row r="15" spans="1:13" x14ac:dyDescent="0.25">
      <c r="A15" s="13">
        <v>1011</v>
      </c>
      <c r="B15" s="13" t="s">
        <v>67</v>
      </c>
      <c r="C15" s="13" t="s">
        <v>55</v>
      </c>
      <c r="D15" s="13" t="s">
        <v>60</v>
      </c>
      <c r="E15" s="13">
        <v>40</v>
      </c>
      <c r="F15" s="13">
        <v>5</v>
      </c>
      <c r="G15" s="30">
        <v>45310</v>
      </c>
      <c r="H15" s="29">
        <f>PRODUCT(E15:F15)</f>
        <v>200</v>
      </c>
    </row>
    <row r="16" spans="1:13" x14ac:dyDescent="0.25">
      <c r="A16" s="13">
        <v>1012</v>
      </c>
      <c r="B16" s="13" t="s">
        <v>68</v>
      </c>
      <c r="C16" s="13" t="s">
        <v>58</v>
      </c>
      <c r="D16" s="13" t="s">
        <v>63</v>
      </c>
      <c r="E16" s="13">
        <v>35</v>
      </c>
      <c r="F16" s="13">
        <v>8</v>
      </c>
      <c r="G16" s="30">
        <v>45311</v>
      </c>
      <c r="H16" s="29">
        <f>PRODUCT(E16:F16)</f>
        <v>280</v>
      </c>
    </row>
    <row r="17" spans="1:8" x14ac:dyDescent="0.25">
      <c r="A17" s="13">
        <v>1013</v>
      </c>
      <c r="B17" s="13" t="s">
        <v>69</v>
      </c>
      <c r="C17" s="13" t="s">
        <v>49</v>
      </c>
      <c r="D17" s="13" t="s">
        <v>50</v>
      </c>
      <c r="E17" s="13">
        <v>14</v>
      </c>
      <c r="F17" s="13">
        <v>50</v>
      </c>
      <c r="G17" s="30">
        <v>45313</v>
      </c>
      <c r="H17" s="29">
        <f>PRODUCT(E17:F17)</f>
        <v>700</v>
      </c>
    </row>
    <row r="18" spans="1:8" x14ac:dyDescent="0.25">
      <c r="A18" s="13">
        <v>1014</v>
      </c>
      <c r="B18" s="13" t="s">
        <v>70</v>
      </c>
      <c r="C18" s="13" t="s">
        <v>52</v>
      </c>
      <c r="D18" s="13" t="s">
        <v>53</v>
      </c>
      <c r="E18" s="13">
        <v>28</v>
      </c>
      <c r="F18" s="13">
        <v>10</v>
      </c>
      <c r="G18" s="30">
        <v>45314</v>
      </c>
      <c r="H18" s="29">
        <f>PRODUCT(E18:F18)</f>
        <v>280</v>
      </c>
    </row>
    <row r="19" spans="1:8" x14ac:dyDescent="0.25">
      <c r="A19" s="13">
        <v>1015</v>
      </c>
      <c r="B19" s="13" t="s">
        <v>71</v>
      </c>
      <c r="C19" s="13" t="s">
        <v>55</v>
      </c>
      <c r="D19" s="13" t="s">
        <v>56</v>
      </c>
      <c r="E19" s="13">
        <v>12</v>
      </c>
      <c r="F19" s="13">
        <v>25</v>
      </c>
      <c r="G19" s="30">
        <v>45315</v>
      </c>
      <c r="H19" s="29">
        <f>PRODUCT(E19:F19)</f>
        <v>300</v>
      </c>
    </row>
    <row r="20" spans="1:8" x14ac:dyDescent="0.25">
      <c r="A20" s="13">
        <v>1016</v>
      </c>
      <c r="B20" s="13" t="s">
        <v>72</v>
      </c>
      <c r="C20" s="13" t="s">
        <v>58</v>
      </c>
      <c r="D20" s="13" t="s">
        <v>60</v>
      </c>
      <c r="E20" s="13">
        <v>25</v>
      </c>
      <c r="F20" s="13">
        <v>5</v>
      </c>
      <c r="G20" s="30">
        <v>45317</v>
      </c>
      <c r="H20" s="29">
        <f>PRODUCT(E20:F20)</f>
        <v>125</v>
      </c>
    </row>
    <row r="21" spans="1:8" x14ac:dyDescent="0.25">
      <c r="A21" s="13">
        <v>1017</v>
      </c>
      <c r="B21" s="13" t="s">
        <v>73</v>
      </c>
      <c r="C21" s="13" t="s">
        <v>49</v>
      </c>
      <c r="D21" s="13" t="s">
        <v>63</v>
      </c>
      <c r="E21" s="13">
        <v>20</v>
      </c>
      <c r="F21" s="13">
        <v>8</v>
      </c>
      <c r="G21" s="30">
        <v>45319</v>
      </c>
      <c r="H21" s="29">
        <f>PRODUCT(E21:F21)</f>
        <v>160</v>
      </c>
    </row>
    <row r="22" spans="1:8" x14ac:dyDescent="0.25">
      <c r="A22" s="13">
        <v>1018</v>
      </c>
      <c r="B22" s="13" t="s">
        <v>74</v>
      </c>
      <c r="C22" s="13" t="s">
        <v>52</v>
      </c>
      <c r="D22" s="13" t="s">
        <v>50</v>
      </c>
      <c r="E22" s="13">
        <v>10</v>
      </c>
      <c r="F22" s="13">
        <v>50</v>
      </c>
      <c r="G22" s="30">
        <v>45320</v>
      </c>
      <c r="H22" s="29">
        <f>PRODUCT(E22:F22)</f>
        <v>500</v>
      </c>
    </row>
    <row r="23" spans="1:8" x14ac:dyDescent="0.25">
      <c r="A23" s="13">
        <v>1019</v>
      </c>
      <c r="B23" s="13" t="s">
        <v>75</v>
      </c>
      <c r="C23" s="13" t="s">
        <v>55</v>
      </c>
      <c r="D23" s="13" t="s">
        <v>53</v>
      </c>
      <c r="E23" s="13">
        <v>15</v>
      </c>
      <c r="F23" s="13">
        <v>10</v>
      </c>
      <c r="G23" s="30">
        <v>45321</v>
      </c>
      <c r="H23" s="29">
        <f>PRODUCT(E23:F23)</f>
        <v>150</v>
      </c>
    </row>
    <row r="24" spans="1:8" x14ac:dyDescent="0.25">
      <c r="A24" s="13">
        <v>1020</v>
      </c>
      <c r="B24" s="13" t="s">
        <v>76</v>
      </c>
      <c r="C24" s="13" t="s">
        <v>58</v>
      </c>
      <c r="D24" s="13" t="s">
        <v>56</v>
      </c>
      <c r="E24" s="13">
        <v>18</v>
      </c>
      <c r="F24" s="13">
        <v>25</v>
      </c>
      <c r="G24" s="30">
        <v>45323</v>
      </c>
      <c r="H24" s="29">
        <f>PRODUCT(E24:F24)</f>
        <v>450</v>
      </c>
    </row>
    <row r="25" spans="1:8" x14ac:dyDescent="0.25">
      <c r="A25" s="13">
        <v>1021</v>
      </c>
      <c r="B25" s="13" t="s">
        <v>77</v>
      </c>
      <c r="C25" s="13" t="s">
        <v>49</v>
      </c>
      <c r="D25" s="13" t="s">
        <v>50</v>
      </c>
      <c r="E25" s="13">
        <v>9</v>
      </c>
      <c r="F25" s="13">
        <v>50</v>
      </c>
      <c r="G25" s="30">
        <v>45324</v>
      </c>
      <c r="H25" s="29">
        <f>PRODUCT(E25:F25)</f>
        <v>450</v>
      </c>
    </row>
    <row r="26" spans="1:8" x14ac:dyDescent="0.25">
      <c r="A26" s="13">
        <v>1022</v>
      </c>
      <c r="B26" s="13" t="s">
        <v>78</v>
      </c>
      <c r="C26" s="13" t="s">
        <v>52</v>
      </c>
      <c r="D26" s="13" t="s">
        <v>60</v>
      </c>
      <c r="E26" s="13">
        <v>35</v>
      </c>
      <c r="F26" s="13">
        <v>5</v>
      </c>
      <c r="G26" s="30">
        <v>45325</v>
      </c>
      <c r="H26" s="29">
        <f>PRODUCT(E26:F26)</f>
        <v>175</v>
      </c>
    </row>
    <row r="27" spans="1:8" x14ac:dyDescent="0.25">
      <c r="A27" s="13">
        <v>1023</v>
      </c>
      <c r="B27" s="13" t="s">
        <v>79</v>
      </c>
      <c r="C27" s="13" t="s">
        <v>55</v>
      </c>
      <c r="D27" s="13" t="s">
        <v>63</v>
      </c>
      <c r="E27" s="13">
        <v>30</v>
      </c>
      <c r="F27" s="13">
        <v>8</v>
      </c>
      <c r="G27" s="30">
        <v>45326</v>
      </c>
      <c r="H27" s="29">
        <f>PRODUCT(E27:F27)</f>
        <v>240</v>
      </c>
    </row>
    <row r="28" spans="1:8" x14ac:dyDescent="0.25">
      <c r="A28" s="13">
        <v>1024</v>
      </c>
      <c r="B28" s="13" t="s">
        <v>80</v>
      </c>
      <c r="C28" s="13" t="s">
        <v>58</v>
      </c>
      <c r="D28" s="13" t="s">
        <v>50</v>
      </c>
      <c r="E28" s="13">
        <v>11</v>
      </c>
      <c r="F28" s="13">
        <v>50</v>
      </c>
      <c r="G28" s="30">
        <v>45328</v>
      </c>
      <c r="H28" s="29">
        <f>PRODUCT(E28:F28)</f>
        <v>550</v>
      </c>
    </row>
    <row r="29" spans="1:8" x14ac:dyDescent="0.25">
      <c r="A29" s="13">
        <v>1025</v>
      </c>
      <c r="B29" s="13" t="s">
        <v>81</v>
      </c>
      <c r="C29" s="13" t="s">
        <v>49</v>
      </c>
      <c r="D29" s="13" t="s">
        <v>53</v>
      </c>
      <c r="E29" s="13">
        <v>14</v>
      </c>
      <c r="F29" s="13">
        <v>10</v>
      </c>
      <c r="G29" s="30">
        <v>45329</v>
      </c>
      <c r="H29" s="29">
        <f>PRODUCT(E29:F29)</f>
        <v>140</v>
      </c>
    </row>
    <row r="30" spans="1:8" x14ac:dyDescent="0.25">
      <c r="A30" s="13">
        <v>1026</v>
      </c>
      <c r="B30" s="13" t="s">
        <v>82</v>
      </c>
      <c r="C30" s="13" t="s">
        <v>52</v>
      </c>
      <c r="D30" s="13" t="s">
        <v>56</v>
      </c>
      <c r="E30" s="13">
        <v>16</v>
      </c>
      <c r="F30" s="13">
        <v>25</v>
      </c>
      <c r="G30" s="30">
        <v>45330</v>
      </c>
      <c r="H30" s="29">
        <f>PRODUCT(E30:F30)</f>
        <v>400</v>
      </c>
    </row>
    <row r="31" spans="1:8" x14ac:dyDescent="0.25">
      <c r="A31" s="13">
        <v>1027</v>
      </c>
      <c r="B31" s="13" t="s">
        <v>83</v>
      </c>
      <c r="C31" s="13" t="s">
        <v>55</v>
      </c>
      <c r="D31" s="13" t="s">
        <v>60</v>
      </c>
      <c r="E31" s="13">
        <v>22</v>
      </c>
      <c r="F31" s="13">
        <v>5</v>
      </c>
      <c r="G31" s="30">
        <v>45331</v>
      </c>
      <c r="H31" s="29">
        <f>PRODUCT(E31:F31)</f>
        <v>110</v>
      </c>
    </row>
    <row r="32" spans="1:8" x14ac:dyDescent="0.25">
      <c r="A32" s="13">
        <v>1028</v>
      </c>
      <c r="B32" s="13" t="s">
        <v>84</v>
      </c>
      <c r="C32" s="13" t="s">
        <v>58</v>
      </c>
      <c r="D32" s="13" t="s">
        <v>63</v>
      </c>
      <c r="E32" s="13">
        <v>27</v>
      </c>
      <c r="F32" s="13">
        <v>8</v>
      </c>
      <c r="G32" s="30">
        <v>45332</v>
      </c>
      <c r="H32" s="29">
        <f>PRODUCT(E32:F32)</f>
        <v>216</v>
      </c>
    </row>
    <row r="33" spans="1:8" x14ac:dyDescent="0.25">
      <c r="A33" s="13">
        <v>1029</v>
      </c>
      <c r="B33" s="13" t="s">
        <v>85</v>
      </c>
      <c r="C33" s="13" t="s">
        <v>49</v>
      </c>
      <c r="D33" s="13" t="s">
        <v>50</v>
      </c>
      <c r="E33" s="13">
        <v>13</v>
      </c>
      <c r="F33" s="13">
        <v>50</v>
      </c>
      <c r="G33" s="30">
        <v>45334</v>
      </c>
      <c r="H33" s="29">
        <f>PRODUCT(E33:F33)</f>
        <v>650</v>
      </c>
    </row>
    <row r="34" spans="1:8" x14ac:dyDescent="0.25">
      <c r="A34" s="13">
        <v>1030</v>
      </c>
      <c r="B34" s="13" t="s">
        <v>86</v>
      </c>
      <c r="C34" s="13" t="s">
        <v>52</v>
      </c>
      <c r="D34" s="13" t="s">
        <v>53</v>
      </c>
      <c r="E34" s="13">
        <v>32</v>
      </c>
      <c r="F34" s="13">
        <v>10</v>
      </c>
      <c r="G34" s="30">
        <v>45335</v>
      </c>
      <c r="H34" s="29">
        <f>PRODUCT(E34:F34)</f>
        <v>320</v>
      </c>
    </row>
    <row r="35" spans="1:8" x14ac:dyDescent="0.25">
      <c r="A35" s="13">
        <v>1031</v>
      </c>
      <c r="B35" s="13" t="s">
        <v>87</v>
      </c>
      <c r="C35" s="13" t="s">
        <v>55</v>
      </c>
      <c r="D35" s="13" t="s">
        <v>56</v>
      </c>
      <c r="E35" s="13">
        <v>10</v>
      </c>
      <c r="F35" s="13">
        <v>25</v>
      </c>
      <c r="G35" s="30">
        <v>45336</v>
      </c>
      <c r="H35" s="29">
        <f>PRODUCT(E35:F35)</f>
        <v>250</v>
      </c>
    </row>
    <row r="36" spans="1:8" x14ac:dyDescent="0.25">
      <c r="A36" s="13">
        <v>1032</v>
      </c>
      <c r="B36" s="13" t="s">
        <v>88</v>
      </c>
      <c r="C36" s="13" t="s">
        <v>58</v>
      </c>
      <c r="D36" s="13" t="s">
        <v>60</v>
      </c>
      <c r="E36" s="13">
        <v>18</v>
      </c>
      <c r="F36" s="13">
        <v>5</v>
      </c>
      <c r="G36" s="30">
        <v>45338</v>
      </c>
      <c r="H36" s="29">
        <f>PRODUCT(E36:F36)</f>
        <v>90</v>
      </c>
    </row>
    <row r="37" spans="1:8" x14ac:dyDescent="0.25">
      <c r="A37" s="13">
        <v>1033</v>
      </c>
      <c r="B37" s="13" t="s">
        <v>89</v>
      </c>
      <c r="C37" s="13" t="s">
        <v>49</v>
      </c>
      <c r="D37" s="13" t="s">
        <v>63</v>
      </c>
      <c r="E37" s="13">
        <v>22</v>
      </c>
      <c r="F37" s="13">
        <v>8</v>
      </c>
      <c r="G37" s="30">
        <v>45339</v>
      </c>
      <c r="H37" s="29">
        <f>PRODUCT(E37:F37)</f>
        <v>176</v>
      </c>
    </row>
    <row r="38" spans="1:8" x14ac:dyDescent="0.25">
      <c r="A38" s="13">
        <v>1034</v>
      </c>
      <c r="B38" s="13" t="s">
        <v>90</v>
      </c>
      <c r="C38" s="13" t="s">
        <v>52</v>
      </c>
      <c r="D38" s="13" t="s">
        <v>50</v>
      </c>
      <c r="E38" s="13">
        <v>17</v>
      </c>
      <c r="F38" s="13">
        <v>50</v>
      </c>
      <c r="G38" s="30">
        <v>45340</v>
      </c>
      <c r="H38" s="29">
        <f>PRODUCT(E38:F38)</f>
        <v>850</v>
      </c>
    </row>
    <row r="39" spans="1:8" x14ac:dyDescent="0.25">
      <c r="A39" s="13">
        <v>1035</v>
      </c>
      <c r="B39" s="13" t="s">
        <v>91</v>
      </c>
      <c r="C39" s="13" t="s">
        <v>55</v>
      </c>
      <c r="D39" s="13" t="s">
        <v>53</v>
      </c>
      <c r="E39" s="13">
        <v>19</v>
      </c>
      <c r="F39" s="13">
        <v>10</v>
      </c>
      <c r="G39" s="30">
        <v>45341</v>
      </c>
      <c r="H39" s="29">
        <f>PRODUCT(E39:F39)</f>
        <v>190</v>
      </c>
    </row>
    <row r="40" spans="1:8" x14ac:dyDescent="0.25">
      <c r="A40" s="13">
        <v>1036</v>
      </c>
      <c r="B40" s="13" t="s">
        <v>92</v>
      </c>
      <c r="C40" s="13" t="s">
        <v>58</v>
      </c>
      <c r="D40" s="13" t="s">
        <v>56</v>
      </c>
      <c r="E40" s="13">
        <v>15</v>
      </c>
      <c r="F40" s="13">
        <v>25</v>
      </c>
      <c r="G40" s="30">
        <v>45343</v>
      </c>
      <c r="H40" s="29">
        <f>PRODUCT(E40:F40)</f>
        <v>375</v>
      </c>
    </row>
    <row r="41" spans="1:8" x14ac:dyDescent="0.25">
      <c r="A41" s="13">
        <v>1037</v>
      </c>
      <c r="B41" s="13" t="s">
        <v>93</v>
      </c>
      <c r="C41" s="13" t="s">
        <v>49</v>
      </c>
      <c r="D41" s="13" t="s">
        <v>60</v>
      </c>
      <c r="E41" s="13">
        <v>28</v>
      </c>
      <c r="F41" s="13">
        <v>5</v>
      </c>
      <c r="G41" s="30">
        <v>45344</v>
      </c>
      <c r="H41" s="29">
        <f>PRODUCT(E41:F41)</f>
        <v>140</v>
      </c>
    </row>
    <row r="42" spans="1:8" x14ac:dyDescent="0.25">
      <c r="A42" s="13">
        <v>1038</v>
      </c>
      <c r="B42" s="13" t="s">
        <v>94</v>
      </c>
      <c r="C42" s="13" t="s">
        <v>52</v>
      </c>
      <c r="D42" s="13" t="s">
        <v>63</v>
      </c>
      <c r="E42" s="13">
        <v>24</v>
      </c>
      <c r="F42" s="13">
        <v>8</v>
      </c>
      <c r="G42" s="30">
        <v>45345</v>
      </c>
      <c r="H42" s="29">
        <f>PRODUCT(E42:F42)</f>
        <v>192</v>
      </c>
    </row>
    <row r="43" spans="1:8" x14ac:dyDescent="0.25">
      <c r="A43" s="13">
        <v>1039</v>
      </c>
      <c r="B43" s="13" t="s">
        <v>95</v>
      </c>
      <c r="C43" s="13" t="s">
        <v>55</v>
      </c>
      <c r="D43" s="13" t="s">
        <v>50</v>
      </c>
      <c r="E43" s="13">
        <v>16</v>
      </c>
      <c r="F43" s="13">
        <v>50</v>
      </c>
      <c r="G43" s="30">
        <v>45347</v>
      </c>
      <c r="H43" s="29">
        <f>PRODUCT(E43:F43)</f>
        <v>800</v>
      </c>
    </row>
    <row r="44" spans="1:8" x14ac:dyDescent="0.25">
      <c r="A44" s="13">
        <v>1040</v>
      </c>
      <c r="B44" s="13" t="s">
        <v>96</v>
      </c>
      <c r="C44" s="13" t="s">
        <v>58</v>
      </c>
      <c r="D44" s="13" t="s">
        <v>53</v>
      </c>
      <c r="E44" s="13">
        <v>27</v>
      </c>
      <c r="F44" s="13">
        <v>10</v>
      </c>
      <c r="G44" s="30">
        <v>45348</v>
      </c>
      <c r="H44" s="29">
        <f>PRODUCT(E44:F44)</f>
        <v>270</v>
      </c>
    </row>
    <row r="45" spans="1:8" x14ac:dyDescent="0.25">
      <c r="A45" s="13">
        <v>1041</v>
      </c>
      <c r="B45" s="13" t="s">
        <v>97</v>
      </c>
      <c r="C45" s="13" t="s">
        <v>49</v>
      </c>
      <c r="D45" s="13" t="s">
        <v>56</v>
      </c>
      <c r="E45" s="13">
        <v>21</v>
      </c>
      <c r="F45" s="13">
        <v>25</v>
      </c>
      <c r="G45" s="30">
        <v>45349</v>
      </c>
      <c r="H45" s="29">
        <f>PRODUCT(E45:F45)</f>
        <v>525</v>
      </c>
    </row>
    <row r="46" spans="1:8" x14ac:dyDescent="0.25">
      <c r="A46" s="13">
        <v>1042</v>
      </c>
      <c r="B46" s="13" t="s">
        <v>98</v>
      </c>
      <c r="C46" s="13" t="s">
        <v>52</v>
      </c>
      <c r="D46" s="13" t="s">
        <v>60</v>
      </c>
      <c r="E46" s="13">
        <v>30</v>
      </c>
      <c r="F46" s="13">
        <v>5</v>
      </c>
      <c r="G46" s="30">
        <v>45350</v>
      </c>
      <c r="H46" s="29">
        <f>PRODUCT(E46:F46)</f>
        <v>150</v>
      </c>
    </row>
    <row r="47" spans="1:8" x14ac:dyDescent="0.25">
      <c r="A47" s="13">
        <v>1043</v>
      </c>
      <c r="B47" s="13" t="s">
        <v>99</v>
      </c>
      <c r="C47" s="13" t="s">
        <v>55</v>
      </c>
      <c r="D47" s="13" t="s">
        <v>63</v>
      </c>
      <c r="E47" s="13">
        <v>26</v>
      </c>
      <c r="F47" s="13">
        <v>8</v>
      </c>
      <c r="G47" s="30">
        <v>45352</v>
      </c>
      <c r="H47" s="29">
        <f>PRODUCT(E47:F47)</f>
        <v>208</v>
      </c>
    </row>
    <row r="48" spans="1:8" x14ac:dyDescent="0.25">
      <c r="A48" s="13">
        <v>1044</v>
      </c>
      <c r="B48" s="13" t="s">
        <v>100</v>
      </c>
      <c r="C48" s="13" t="s">
        <v>58</v>
      </c>
      <c r="D48" s="13" t="s">
        <v>50</v>
      </c>
      <c r="E48" s="13">
        <v>14</v>
      </c>
      <c r="F48" s="13">
        <v>50</v>
      </c>
      <c r="G48" s="30">
        <v>45353</v>
      </c>
      <c r="H48" s="29">
        <f>PRODUCT(E48:F48)</f>
        <v>700</v>
      </c>
    </row>
    <row r="49" spans="1:8" x14ac:dyDescent="0.25">
      <c r="A49" s="13">
        <v>1045</v>
      </c>
      <c r="B49" s="13" t="s">
        <v>101</v>
      </c>
      <c r="C49" s="13" t="s">
        <v>49</v>
      </c>
      <c r="D49" s="13" t="s">
        <v>53</v>
      </c>
      <c r="E49" s="13">
        <v>20</v>
      </c>
      <c r="F49" s="13">
        <v>10</v>
      </c>
      <c r="G49" s="30">
        <v>45354</v>
      </c>
      <c r="H49" s="29">
        <f>PRODUCT(E49:F49)</f>
        <v>200</v>
      </c>
    </row>
    <row r="50" spans="1:8" x14ac:dyDescent="0.25">
      <c r="A50" s="13">
        <v>1046</v>
      </c>
      <c r="B50" s="13" t="s">
        <v>102</v>
      </c>
      <c r="C50" s="13" t="s">
        <v>52</v>
      </c>
      <c r="D50" s="13" t="s">
        <v>56</v>
      </c>
      <c r="E50" s="13">
        <v>17</v>
      </c>
      <c r="F50" s="13">
        <v>25</v>
      </c>
      <c r="G50" s="30">
        <v>45355</v>
      </c>
      <c r="H50" s="29">
        <f>PRODUCT(E50:F50)</f>
        <v>425</v>
      </c>
    </row>
    <row r="51" spans="1:8" x14ac:dyDescent="0.25">
      <c r="A51" s="13">
        <v>1047</v>
      </c>
      <c r="B51" s="13" t="s">
        <v>103</v>
      </c>
      <c r="C51" s="13" t="s">
        <v>55</v>
      </c>
      <c r="D51" s="13" t="s">
        <v>60</v>
      </c>
      <c r="E51" s="13">
        <v>19</v>
      </c>
      <c r="F51" s="13">
        <v>5</v>
      </c>
      <c r="G51" s="30">
        <v>45356</v>
      </c>
      <c r="H51" s="29">
        <f>PRODUCT(E51:F51)</f>
        <v>95</v>
      </c>
    </row>
    <row r="52" spans="1:8" x14ac:dyDescent="0.25">
      <c r="A52" s="13">
        <v>1048</v>
      </c>
      <c r="B52" s="13" t="s">
        <v>104</v>
      </c>
      <c r="C52" s="13" t="s">
        <v>58</v>
      </c>
      <c r="D52" s="13" t="s">
        <v>63</v>
      </c>
      <c r="E52" s="13">
        <v>32</v>
      </c>
      <c r="F52" s="13">
        <v>8</v>
      </c>
      <c r="G52" s="30">
        <v>45357</v>
      </c>
      <c r="H52" s="29">
        <f>PRODUCT(E52:F52)</f>
        <v>256</v>
      </c>
    </row>
    <row r="53" spans="1:8" x14ac:dyDescent="0.25">
      <c r="A53" s="13">
        <v>1049</v>
      </c>
      <c r="B53" s="13" t="s">
        <v>105</v>
      </c>
      <c r="C53" s="13" t="s">
        <v>49</v>
      </c>
      <c r="D53" s="13" t="s">
        <v>50</v>
      </c>
      <c r="E53" s="13">
        <v>12</v>
      </c>
      <c r="F53" s="13">
        <v>50</v>
      </c>
      <c r="G53" s="30">
        <v>45358</v>
      </c>
      <c r="H53" s="29">
        <f>PRODUCT(E53:F53)</f>
        <v>600</v>
      </c>
    </row>
    <row r="54" spans="1:8" x14ac:dyDescent="0.25">
      <c r="A54" s="13">
        <v>1050</v>
      </c>
      <c r="B54" s="13" t="s">
        <v>106</v>
      </c>
      <c r="C54" s="13" t="s">
        <v>52</v>
      </c>
      <c r="D54" s="13" t="s">
        <v>53</v>
      </c>
      <c r="E54" s="13">
        <v>25</v>
      </c>
      <c r="F54" s="13">
        <v>10</v>
      </c>
      <c r="G54" s="30">
        <v>45359</v>
      </c>
      <c r="H54" s="29">
        <f>PRODUCT(E54:F54)</f>
        <v>250</v>
      </c>
    </row>
  </sheetData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4"/>
  <sheetViews>
    <sheetView workbookViewId="0">
      <selection activeCell="O11" sqref="O11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2" spans="1:12" ht="18.75" x14ac:dyDescent="0.3">
      <c r="G2" s="9" t="s">
        <v>123</v>
      </c>
      <c r="H2" s="9"/>
      <c r="I2" s="9"/>
      <c r="J2" s="9"/>
      <c r="K2" s="9"/>
      <c r="L2" s="9"/>
    </row>
    <row r="3" spans="1:12" x14ac:dyDescent="0.25">
      <c r="A3" s="34" t="s">
        <v>120</v>
      </c>
      <c r="B3" t="s">
        <v>122</v>
      </c>
    </row>
    <row r="4" spans="1:12" x14ac:dyDescent="0.25">
      <c r="A4" s="37">
        <v>45296</v>
      </c>
      <c r="B4" s="36">
        <v>500</v>
      </c>
    </row>
    <row r="5" spans="1:12" x14ac:dyDescent="0.25">
      <c r="A5" s="37">
        <v>45297</v>
      </c>
      <c r="B5" s="36">
        <v>200</v>
      </c>
    </row>
    <row r="6" spans="1:12" x14ac:dyDescent="0.25">
      <c r="A6" s="37">
        <v>45298</v>
      </c>
      <c r="B6" s="36">
        <v>375</v>
      </c>
    </row>
    <row r="7" spans="1:12" x14ac:dyDescent="0.25">
      <c r="A7" s="37">
        <v>45299</v>
      </c>
      <c r="B7" s="36">
        <v>250</v>
      </c>
    </row>
    <row r="8" spans="1:12" x14ac:dyDescent="0.25">
      <c r="A8" s="37">
        <v>45301</v>
      </c>
      <c r="B8" s="36">
        <v>150</v>
      </c>
    </row>
    <row r="9" spans="1:12" x14ac:dyDescent="0.25">
      <c r="A9" s="37">
        <v>45302</v>
      </c>
      <c r="B9" s="36">
        <v>600</v>
      </c>
    </row>
    <row r="10" spans="1:12" x14ac:dyDescent="0.25">
      <c r="A10" s="37">
        <v>45304</v>
      </c>
      <c r="B10" s="36">
        <v>200</v>
      </c>
    </row>
    <row r="11" spans="1:12" x14ac:dyDescent="0.25">
      <c r="A11" s="37">
        <v>45306</v>
      </c>
      <c r="B11" s="36">
        <v>180</v>
      </c>
    </row>
    <row r="12" spans="1:12" x14ac:dyDescent="0.25">
      <c r="A12" s="37">
        <v>45308</v>
      </c>
      <c r="B12" s="36">
        <v>550</v>
      </c>
    </row>
    <row r="13" spans="1:12" x14ac:dyDescent="0.25">
      <c r="A13" s="37">
        <v>45309</v>
      </c>
      <c r="B13" s="36">
        <v>400</v>
      </c>
    </row>
    <row r="14" spans="1:12" x14ac:dyDescent="0.25">
      <c r="A14" s="37">
        <v>45310</v>
      </c>
      <c r="B14" s="36">
        <v>200</v>
      </c>
    </row>
    <row r="15" spans="1:12" x14ac:dyDescent="0.25">
      <c r="A15" s="37">
        <v>45311</v>
      </c>
      <c r="B15" s="36">
        <v>280</v>
      </c>
    </row>
    <row r="16" spans="1:12" x14ac:dyDescent="0.25">
      <c r="A16" s="37">
        <v>45313</v>
      </c>
      <c r="B16" s="36">
        <v>700</v>
      </c>
    </row>
    <row r="17" spans="1:2" x14ac:dyDescent="0.25">
      <c r="A17" s="37">
        <v>45314</v>
      </c>
      <c r="B17" s="36">
        <v>280</v>
      </c>
    </row>
    <row r="18" spans="1:2" x14ac:dyDescent="0.25">
      <c r="A18" s="37">
        <v>45315</v>
      </c>
      <c r="B18" s="36">
        <v>300</v>
      </c>
    </row>
    <row r="19" spans="1:2" x14ac:dyDescent="0.25">
      <c r="A19" s="37">
        <v>45317</v>
      </c>
      <c r="B19" s="36">
        <v>125</v>
      </c>
    </row>
    <row r="20" spans="1:2" x14ac:dyDescent="0.25">
      <c r="A20" s="37">
        <v>45319</v>
      </c>
      <c r="B20" s="36">
        <v>160</v>
      </c>
    </row>
    <row r="21" spans="1:2" x14ac:dyDescent="0.25">
      <c r="A21" s="37">
        <v>45320</v>
      </c>
      <c r="B21" s="36">
        <v>500</v>
      </c>
    </row>
    <row r="22" spans="1:2" x14ac:dyDescent="0.25">
      <c r="A22" s="37">
        <v>45321</v>
      </c>
      <c r="B22" s="36">
        <v>150</v>
      </c>
    </row>
    <row r="23" spans="1:2" x14ac:dyDescent="0.25">
      <c r="A23" s="37">
        <v>45323</v>
      </c>
      <c r="B23" s="36">
        <v>450</v>
      </c>
    </row>
    <row r="24" spans="1:2" x14ac:dyDescent="0.25">
      <c r="A24" s="37">
        <v>45324</v>
      </c>
      <c r="B24" s="36">
        <v>450</v>
      </c>
    </row>
    <row r="25" spans="1:2" x14ac:dyDescent="0.25">
      <c r="A25" s="37">
        <v>45325</v>
      </c>
      <c r="B25" s="36">
        <v>175</v>
      </c>
    </row>
    <row r="26" spans="1:2" x14ac:dyDescent="0.25">
      <c r="A26" s="37">
        <v>45326</v>
      </c>
      <c r="B26" s="36">
        <v>240</v>
      </c>
    </row>
    <row r="27" spans="1:2" x14ac:dyDescent="0.25">
      <c r="A27" s="37">
        <v>45328</v>
      </c>
      <c r="B27" s="36">
        <v>550</v>
      </c>
    </row>
    <row r="28" spans="1:2" x14ac:dyDescent="0.25">
      <c r="A28" s="37">
        <v>45329</v>
      </c>
      <c r="B28" s="36">
        <v>140</v>
      </c>
    </row>
    <row r="29" spans="1:2" x14ac:dyDescent="0.25">
      <c r="A29" s="37">
        <v>45330</v>
      </c>
      <c r="B29" s="36">
        <v>400</v>
      </c>
    </row>
    <row r="30" spans="1:2" x14ac:dyDescent="0.25">
      <c r="A30" s="37">
        <v>45331</v>
      </c>
      <c r="B30" s="36">
        <v>110</v>
      </c>
    </row>
    <row r="31" spans="1:2" x14ac:dyDescent="0.25">
      <c r="A31" s="37">
        <v>45332</v>
      </c>
      <c r="B31" s="36">
        <v>216</v>
      </c>
    </row>
    <row r="32" spans="1:2" x14ac:dyDescent="0.25">
      <c r="A32" s="37">
        <v>45334</v>
      </c>
      <c r="B32" s="36">
        <v>650</v>
      </c>
    </row>
    <row r="33" spans="1:2" x14ac:dyDescent="0.25">
      <c r="A33" s="37">
        <v>45335</v>
      </c>
      <c r="B33" s="36">
        <v>320</v>
      </c>
    </row>
    <row r="34" spans="1:2" x14ac:dyDescent="0.25">
      <c r="A34" s="37">
        <v>45336</v>
      </c>
      <c r="B34" s="36">
        <v>250</v>
      </c>
    </row>
    <row r="35" spans="1:2" x14ac:dyDescent="0.25">
      <c r="A35" s="37">
        <v>45338</v>
      </c>
      <c r="B35" s="36">
        <v>90</v>
      </c>
    </row>
    <row r="36" spans="1:2" x14ac:dyDescent="0.25">
      <c r="A36" s="37">
        <v>45339</v>
      </c>
      <c r="B36" s="36">
        <v>176</v>
      </c>
    </row>
    <row r="37" spans="1:2" x14ac:dyDescent="0.25">
      <c r="A37" s="37">
        <v>45340</v>
      </c>
      <c r="B37" s="36">
        <v>850</v>
      </c>
    </row>
    <row r="38" spans="1:2" x14ac:dyDescent="0.25">
      <c r="A38" s="37">
        <v>45341</v>
      </c>
      <c r="B38" s="36">
        <v>190</v>
      </c>
    </row>
    <row r="39" spans="1:2" x14ac:dyDescent="0.25">
      <c r="A39" s="37">
        <v>45343</v>
      </c>
      <c r="B39" s="36">
        <v>375</v>
      </c>
    </row>
    <row r="40" spans="1:2" x14ac:dyDescent="0.25">
      <c r="A40" s="37">
        <v>45344</v>
      </c>
      <c r="B40" s="36">
        <v>140</v>
      </c>
    </row>
    <row r="41" spans="1:2" x14ac:dyDescent="0.25">
      <c r="A41" s="37">
        <v>45345</v>
      </c>
      <c r="B41" s="36">
        <v>192</v>
      </c>
    </row>
    <row r="42" spans="1:2" x14ac:dyDescent="0.25">
      <c r="A42" s="37">
        <v>45347</v>
      </c>
      <c r="B42" s="36">
        <v>800</v>
      </c>
    </row>
    <row r="43" spans="1:2" x14ac:dyDescent="0.25">
      <c r="A43" s="37">
        <v>45348</v>
      </c>
      <c r="B43" s="36">
        <v>270</v>
      </c>
    </row>
    <row r="44" spans="1:2" x14ac:dyDescent="0.25">
      <c r="A44" s="37">
        <v>45349</v>
      </c>
      <c r="B44" s="36">
        <v>525</v>
      </c>
    </row>
    <row r="45" spans="1:2" x14ac:dyDescent="0.25">
      <c r="A45" s="37">
        <v>45350</v>
      </c>
      <c r="B45" s="36">
        <v>150</v>
      </c>
    </row>
    <row r="46" spans="1:2" x14ac:dyDescent="0.25">
      <c r="A46" s="37">
        <v>45352</v>
      </c>
      <c r="B46" s="36">
        <v>208</v>
      </c>
    </row>
    <row r="47" spans="1:2" x14ac:dyDescent="0.25">
      <c r="A47" s="37">
        <v>45353</v>
      </c>
      <c r="B47" s="36">
        <v>700</v>
      </c>
    </row>
    <row r="48" spans="1:2" x14ac:dyDescent="0.25">
      <c r="A48" s="37">
        <v>45354</v>
      </c>
      <c r="B48" s="36">
        <v>200</v>
      </c>
    </row>
    <row r="49" spans="1:2" x14ac:dyDescent="0.25">
      <c r="A49" s="37">
        <v>45355</v>
      </c>
      <c r="B49" s="36">
        <v>425</v>
      </c>
    </row>
    <row r="50" spans="1:2" x14ac:dyDescent="0.25">
      <c r="A50" s="37">
        <v>45356</v>
      </c>
      <c r="B50" s="36">
        <v>95</v>
      </c>
    </row>
    <row r="51" spans="1:2" x14ac:dyDescent="0.25">
      <c r="A51" s="37">
        <v>45357</v>
      </c>
      <c r="B51" s="36">
        <v>256</v>
      </c>
    </row>
    <row r="52" spans="1:2" x14ac:dyDescent="0.25">
      <c r="A52" s="37">
        <v>45358</v>
      </c>
      <c r="B52" s="36">
        <v>600</v>
      </c>
    </row>
    <row r="53" spans="1:2" x14ac:dyDescent="0.25">
      <c r="A53" s="37">
        <v>45359</v>
      </c>
      <c r="B53" s="36">
        <v>250</v>
      </c>
    </row>
    <row r="54" spans="1:2" x14ac:dyDescent="0.25">
      <c r="A54" s="37" t="s">
        <v>121</v>
      </c>
      <c r="B54" s="36">
        <v>16543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2025-12-03T06:45:46Z</dcterms:created>
  <dcterms:modified xsi:type="dcterms:W3CDTF">2025-12-03T13:27:12Z</dcterms:modified>
</cp:coreProperties>
</file>