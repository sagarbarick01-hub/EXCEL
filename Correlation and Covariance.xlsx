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9d7e948928de304c/Documents/"/>
    </mc:Choice>
  </mc:AlternateContent>
  <xr:revisionPtr revIDLastSave="0" documentId="8_{82354655-07BD-4F2D-9CEF-A98B3D61235D}" xr6:coauthVersionLast="47" xr6:coauthVersionMax="47" xr10:uidLastSave="{00000000-0000-0000-0000-000000000000}"/>
  <bookViews>
    <workbookView xWindow="-120" yWindow="-120" windowWidth="20730" windowHeight="11160" xr2:uid="{E1E6F270-40FC-4F11-B953-CE3C63941AC4}"/>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0" l="1"/>
  <c r="A18" i="10"/>
  <c r="A14" i="10"/>
  <c r="B13" i="9"/>
  <c r="A13" i="8"/>
  <c r="A15" i="7"/>
  <c r="A13" i="7"/>
  <c r="A15" i="6"/>
  <c r="A12" i="6"/>
</calcChain>
</file>

<file path=xl/sharedStrings.xml><?xml version="1.0" encoding="utf-8"?>
<sst xmlns="http://schemas.openxmlformats.org/spreadsheetml/2006/main" count="98" uniqueCount="83">
  <si>
    <t>Correlation and Covariance</t>
  </si>
  <si>
    <t>Q1. Define Covariance and explain how it differs from Correlation in terms of scale and interpretation.</t>
  </si>
  <si>
    <t>Sol:</t>
  </si>
  <si>
    <t>Feature</t>
  </si>
  <si>
    <t>Covariance</t>
  </si>
  <si>
    <t>Correlation</t>
  </si>
  <si>
    <t>Scale</t>
  </si>
  <si>
    <t>Range</t>
  </si>
  <si>
    <t>Interpretation</t>
  </si>
  <si>
    <t>Practical Use</t>
  </si>
  <si>
    <t xml:space="preserve">It can range from negative infinity to positive infinity </t>
  </si>
  <si>
    <t>Often difficult to interpret on its own because the magnitude has no fixed limit</t>
  </si>
  <si>
    <t>Preferred in many cases because it allows for easy comparison between different datasets</t>
  </si>
  <si>
    <t>Covariance is a statistical measure that indicates the extent to which two random variables change together.</t>
  </si>
  <si>
    <t>Q2. What does a positive, negative, and zero covariance indicate about the relationship between two variables?</t>
  </si>
  <si>
    <t>Positive covariance indicates that the two variables move in the same direction. When one variable increases, the other also tends to increase, and when one decreases, the other tends to decrease.</t>
  </si>
  <si>
    <t>Negative covariance indicates that the two variables move in opposite directions. When one variable increases, the other tends to decrease, and vice versa.</t>
  </si>
  <si>
    <t>Zero covariance indicates no linear relationship between the two variables. Changes in one variable do not show any consistent pattern with changes in the other.</t>
  </si>
  <si>
    <t>Q3. Discuss the limitations of covariance as a measure of relationship between two variables. Why is correlation preferred in many cases?</t>
  </si>
  <si>
    <t>Limitations of Covariance:</t>
  </si>
  <si>
    <t>Why Correlation is Preferred:</t>
  </si>
  <si>
    <t xml:space="preserve">Correlation overcomes these limitations by standardizing covariance. It is unit-free and always lies between –1 and +1, which makes it easy to interpret </t>
  </si>
  <si>
    <t>and compare the strength and direction of relationships across different datasets. Hence, correlation is preferred in most practical applications</t>
  </si>
  <si>
    <t>Q4. Explain the difference between Pearson’s correlation coefficient and Spearman’s rank correlation coefficient. When would you prefer to use Spearman’s correlation?</t>
  </si>
  <si>
    <t>We should prefer Spearman’s correlation when:</t>
  </si>
  <si>
    <t>Pearson’s correlation coefficient measures the strength and direction of a linear relationship between two continuous variables. It assumes that the data is normally distributed,</t>
  </si>
  <si>
    <t>the relationship is linear, and there are no significant outliers.</t>
  </si>
  <si>
    <t>Spearman’s rank correlation coefficient measures the strength and direction of a monotonic relationship using the ranks of the data rather than the actual values. It does not require</t>
  </si>
  <si>
    <t>normality and is less sensitive to outliers.</t>
  </si>
  <si>
    <r>
      <t xml:space="preserve">The data is </t>
    </r>
    <r>
      <rPr>
        <b/>
        <sz val="12"/>
        <color theme="1"/>
        <rFont val="Calibri"/>
        <family val="2"/>
      </rPr>
      <t>ordinal</t>
    </r>
    <r>
      <rPr>
        <sz val="12"/>
        <color theme="1"/>
        <rFont val="Calibri"/>
        <family val="2"/>
      </rPr>
      <t xml:space="preserve"> or based on ranks</t>
    </r>
  </si>
  <si>
    <r>
      <t xml:space="preserve">The relationship is </t>
    </r>
    <r>
      <rPr>
        <b/>
        <sz val="12"/>
        <color theme="1"/>
        <rFont val="Calibri"/>
        <family val="2"/>
      </rPr>
      <t>non-linear but monotonic</t>
    </r>
  </si>
  <si>
    <r>
      <t xml:space="preserve">The dataset contains </t>
    </r>
    <r>
      <rPr>
        <b/>
        <sz val="12"/>
        <color theme="1"/>
        <rFont val="Calibri"/>
        <family val="2"/>
      </rPr>
      <t>outliers</t>
    </r>
    <r>
      <rPr>
        <sz val="12"/>
        <color theme="1"/>
        <rFont val="Calibri"/>
        <family val="2"/>
      </rPr>
      <t xml:space="preserve"> or is </t>
    </r>
    <r>
      <rPr>
        <b/>
        <sz val="12"/>
        <color theme="1"/>
        <rFont val="Calibri"/>
        <family val="2"/>
      </rPr>
      <t>not normally distributed</t>
    </r>
  </si>
  <si>
    <r>
      <t xml:space="preserve">This interpretation only tells the </t>
    </r>
    <r>
      <rPr>
        <b/>
        <sz val="12"/>
        <color theme="1"/>
        <rFont val="Calibri"/>
        <family val="2"/>
      </rPr>
      <t>direction</t>
    </r>
    <r>
      <rPr>
        <sz val="12"/>
        <color theme="1"/>
        <rFont val="Calibri"/>
        <family val="2"/>
      </rPr>
      <t xml:space="preserve"> of the relationship, not the </t>
    </r>
    <r>
      <rPr>
        <b/>
        <sz val="12"/>
        <color theme="1"/>
        <rFont val="Calibri"/>
        <family val="2"/>
      </rPr>
      <t>strength</t>
    </r>
    <r>
      <rPr>
        <sz val="12"/>
        <color theme="1"/>
        <rFont val="Calibri"/>
        <family val="2"/>
      </rPr>
      <t>, because covariance is not standardized.</t>
    </r>
  </si>
  <si>
    <t>Covariance is scale-dependent. Its value depends on the units of the variables (e.g., meters vs. centimeters)</t>
  </si>
  <si>
    <t>Correlation is dimensionless. It is a standardized measure that is not affected by the scale of variables</t>
  </si>
  <si>
    <t>It is restricted to a specific range between -1 and +1</t>
  </si>
  <si>
    <t>It only tells you the direction of the relationship, not the strength</t>
  </si>
  <si>
    <t>It tells you both the direction and the strength of the linear relationship</t>
  </si>
  <si>
    <r>
      <t xml:space="preserve">Covariance is </t>
    </r>
    <r>
      <rPr>
        <b/>
        <sz val="12"/>
        <color theme="1"/>
        <rFont val="Calibri"/>
        <family val="2"/>
      </rPr>
      <t>scale-dependent</t>
    </r>
    <r>
      <rPr>
        <sz val="12"/>
        <color theme="1"/>
        <rFont val="Calibri"/>
        <family val="2"/>
      </rPr>
      <t>, so its value changes with the units of measurement, making comparisons difficult.</t>
    </r>
  </si>
  <si>
    <r>
      <t xml:space="preserve">The magnitude of covariance is </t>
    </r>
    <r>
      <rPr>
        <b/>
        <sz val="12"/>
        <color theme="1"/>
        <rFont val="Calibri"/>
        <family val="2"/>
      </rPr>
      <t>hard to interpret</t>
    </r>
    <r>
      <rPr>
        <sz val="12"/>
        <color theme="1"/>
        <rFont val="Calibri"/>
        <family val="2"/>
      </rPr>
      <t>, as there is no fixed range.</t>
    </r>
  </si>
  <si>
    <r>
      <t xml:space="preserve">It only indicates the </t>
    </r>
    <r>
      <rPr>
        <b/>
        <sz val="12"/>
        <color theme="1"/>
        <rFont val="Calibri"/>
        <family val="2"/>
      </rPr>
      <t>direction</t>
    </r>
    <r>
      <rPr>
        <sz val="12"/>
        <color theme="1"/>
        <rFont val="Calibri"/>
        <family val="2"/>
      </rPr>
      <t xml:space="preserve"> of the relationship, not the </t>
    </r>
    <r>
      <rPr>
        <b/>
        <sz val="12"/>
        <color theme="1"/>
        <rFont val="Calibri"/>
        <family val="2"/>
      </rPr>
      <t>strength</t>
    </r>
    <r>
      <rPr>
        <sz val="12"/>
        <color theme="1"/>
        <rFont val="Calibri"/>
        <family val="2"/>
      </rPr>
      <t>.</t>
    </r>
  </si>
  <si>
    <t>Q5. If the correlation coefficient between two variables X and Y is 0.85, interpret this value in context.</t>
  </si>
  <si>
    <t>Can you infer causation from this value? Why or why not?</t>
  </si>
  <si>
    <t>and the relationship between them is quite strong.</t>
  </si>
  <si>
    <t>Therefore, while 0.85 shows a strong relationship, it does not prove that changes in X cause changes in Y.</t>
  </si>
  <si>
    <r>
      <t xml:space="preserve">If the </t>
    </r>
    <r>
      <rPr>
        <b/>
        <sz val="12"/>
        <color theme="1"/>
        <rFont val="Calibri"/>
        <family val="2"/>
      </rPr>
      <t>correlation coefficient between X and Y is 0.85</t>
    </r>
    <r>
      <rPr>
        <sz val="12"/>
        <color theme="1"/>
        <rFont val="Calibri"/>
        <family val="2"/>
      </rPr>
      <t xml:space="preserve">, it indicates a </t>
    </r>
    <r>
      <rPr>
        <b/>
        <sz val="12"/>
        <color theme="1"/>
        <rFont val="Calibri"/>
        <family val="2"/>
      </rPr>
      <t>strong positive linear relationship</t>
    </r>
    <r>
      <rPr>
        <sz val="12"/>
        <color theme="1"/>
        <rFont val="Calibri"/>
        <family val="2"/>
      </rPr>
      <t xml:space="preserve"> between the two variables. This means that as </t>
    </r>
    <r>
      <rPr>
        <b/>
        <sz val="12"/>
        <color theme="1"/>
        <rFont val="Calibri"/>
        <family val="2"/>
      </rPr>
      <t>X increases, Y also tends to increase</t>
    </r>
    <r>
      <rPr>
        <sz val="12"/>
        <color theme="1"/>
        <rFont val="Calibri"/>
        <family val="2"/>
      </rPr>
      <t>,</t>
    </r>
  </si>
  <si>
    <r>
      <t xml:space="preserve">However, </t>
    </r>
    <r>
      <rPr>
        <b/>
        <sz val="12"/>
        <color theme="1"/>
        <rFont val="Calibri"/>
        <family val="2"/>
      </rPr>
      <t>correlation does not imply causation</t>
    </r>
    <r>
      <rPr>
        <sz val="12"/>
        <color theme="1"/>
        <rFont val="Calibri"/>
        <family val="2"/>
      </rPr>
      <t xml:space="preserve">. You </t>
    </r>
    <r>
      <rPr>
        <b/>
        <sz val="12"/>
        <color theme="1"/>
        <rFont val="Calibri"/>
        <family val="2"/>
      </rPr>
      <t>cannot infer causation</t>
    </r>
    <r>
      <rPr>
        <sz val="12"/>
        <color theme="1"/>
        <rFont val="Calibri"/>
        <family val="2"/>
      </rPr>
      <t xml:space="preserve"> from this value because:</t>
    </r>
  </si>
  <si>
    <r>
      <t xml:space="preserve">There may be </t>
    </r>
    <r>
      <rPr>
        <b/>
        <sz val="12"/>
        <color theme="1"/>
        <rFont val="Calibri"/>
        <family val="2"/>
      </rPr>
      <t>other variables</t>
    </r>
    <r>
      <rPr>
        <sz val="12"/>
        <color theme="1"/>
        <rFont val="Calibri"/>
        <family val="2"/>
      </rPr>
      <t xml:space="preserve"> influencing both X and Y</t>
    </r>
  </si>
  <si>
    <r>
      <t xml:space="preserve">The relationship could be </t>
    </r>
    <r>
      <rPr>
        <b/>
        <sz val="12"/>
        <color theme="1"/>
        <rFont val="Calibri"/>
        <family val="2"/>
      </rPr>
      <t>coincidental</t>
    </r>
  </si>
  <si>
    <r>
      <t xml:space="preserve">Correlation only measures </t>
    </r>
    <r>
      <rPr>
        <b/>
        <sz val="12"/>
        <color theme="1"/>
        <rFont val="Calibri"/>
        <family val="2"/>
      </rPr>
      <t>association</t>
    </r>
    <r>
      <rPr>
        <sz val="12"/>
        <color theme="1"/>
        <rFont val="Calibri"/>
        <family val="2"/>
      </rPr>
      <t>, not cause-and-effect</t>
    </r>
  </si>
  <si>
    <t>Q6. Using the dataset below, calculate the covariance between X and Y.</t>
  </si>
  <si>
    <t>X</t>
  </si>
  <si>
    <t>Y</t>
  </si>
  <si>
    <t>Sample covariance (divide by n−1):</t>
  </si>
  <si>
    <t>Population covariance (divide by n):</t>
  </si>
  <si>
    <t>Result: Sample covariance = 6.3333; Population covariance = 4.75.</t>
  </si>
  <si>
    <t>Q7. Compute the Pearson correlation coefficient between variables A and B:</t>
  </si>
  <si>
    <t>A</t>
  </si>
  <si>
    <t>B</t>
  </si>
  <si>
    <t>Pearson correlation coefficient:</t>
  </si>
  <si>
    <t>or</t>
  </si>
  <si>
    <t>Result: Pearson correlation coefficient ≈ 0.998</t>
  </si>
  <si>
    <t>Q8. The following table shows heights (in cm) and weights (in kg) of 5 students. Find the correlation coefficient between Height and Weight.</t>
  </si>
  <si>
    <r>
      <t>Interpretation:</t>
    </r>
    <r>
      <rPr>
        <sz val="12"/>
        <color theme="1"/>
        <rFont val="Calibri"/>
        <family val="2"/>
      </rPr>
      <t xml:space="preserve"> r ≈ 0.998 indicates a very strong positive linear relationship between A and B</t>
    </r>
  </si>
  <si>
    <t>Height</t>
  </si>
  <si>
    <t>Weight</t>
  </si>
  <si>
    <t>This is an extremely strong positive correlation. It indicates that as height increases, weight almost always increases in a very predictable linear pattern for this specific group.</t>
  </si>
  <si>
    <r>
      <t xml:space="preserve">Result: </t>
    </r>
    <r>
      <rPr>
        <sz val="12"/>
        <color theme="1"/>
        <rFont val="Calibri"/>
        <family val="2"/>
      </rPr>
      <t>Pearson correlation coefficient ≈ 0.991.</t>
    </r>
  </si>
  <si>
    <r>
      <t>Interpretation:</t>
    </r>
    <r>
      <rPr>
        <sz val="12"/>
        <color theme="1"/>
        <rFont val="Calibri"/>
        <family val="2"/>
      </rPr>
      <t xml:space="preserve"> </t>
    </r>
  </si>
  <si>
    <t xml:space="preserve"> (No need for exact calculation, just reasoning.)</t>
  </si>
  <si>
    <t>Q9. Given the dataset below, determine whether there is a positive or negative correlation between X and Y.</t>
  </si>
  <si>
    <t>Correlation between X and Y is negative.</t>
  </si>
  <si>
    <t>As X increases, Y decreases, showing a strong inverse relationship.</t>
  </si>
  <si>
    <t>Q10. Two investment portfolios have the following returns (%) over 5 years.</t>
  </si>
  <si>
    <t>Compute the covariance and correlation coefficient, and interpret whether the portfolios move together.</t>
  </si>
  <si>
    <t xml:space="preserve">Year </t>
  </si>
  <si>
    <t>Portfolio A</t>
  </si>
  <si>
    <t>Portfolio B</t>
  </si>
  <si>
    <r>
      <t xml:space="preserve">Result: </t>
    </r>
    <r>
      <rPr>
        <b/>
        <sz val="12"/>
        <color theme="1"/>
        <rFont val="Calibri"/>
        <family val="2"/>
      </rPr>
      <t>3.00</t>
    </r>
  </si>
  <si>
    <r>
      <t xml:space="preserve">Result: </t>
    </r>
    <r>
      <rPr>
        <b/>
        <sz val="12"/>
        <color theme="1"/>
        <rFont val="Calibri"/>
        <family val="2"/>
      </rPr>
      <t>2.40</t>
    </r>
  </si>
  <si>
    <r>
      <t xml:space="preserve">Result: </t>
    </r>
    <r>
      <rPr>
        <b/>
        <sz val="12"/>
        <color theme="1"/>
        <rFont val="Calibri"/>
        <family val="2"/>
      </rPr>
      <t>≈ 0.987</t>
    </r>
  </si>
  <si>
    <r>
      <t>Covariance (sample) = 3.00</t>
    </r>
    <r>
      <rPr>
        <sz val="12"/>
        <color theme="1"/>
        <rFont val="Calibri"/>
        <family val="2"/>
      </rPr>
      <t>: Positive, meaning the portfolios’ returns tend to move in the same direction.</t>
    </r>
  </si>
  <si>
    <r>
      <t>Correlation r ≈ 0.987</t>
    </r>
    <r>
      <rPr>
        <sz val="12"/>
        <color theme="1"/>
        <rFont val="Calibri"/>
        <family val="2"/>
      </rPr>
      <t>: Very strong positive linear relationship; when Portfolio A’s returns rise, Portfolio B’s returns typically rise as well.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</si>
</sst>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 @"/>
    <numFmt numFmtId="171" formatCode="0.000"/>
  </numFmts>
  <fonts count="18" x14ac:knownFonts="1">
    <font>
      <sz val="11"/>
      <color theme="1"/>
      <name val="Aptos Narrow"/>
      <family val="2"/>
      <scheme val="minor"/>
    </font>
    <font>
      <b/>
      <sz val="11"/>
      <color theme="1"/>
      <name val="Aptos Narrow"/>
      <family val="2"/>
      <scheme val="minor"/>
    </font>
    <font>
      <sz val="11"/>
      <color theme="1"/>
      <name val="Calibri"/>
      <family val="2"/>
    </font>
    <font>
      <b/>
      <sz val="16"/>
      <color theme="1"/>
      <name val="Calibri"/>
      <family val="2"/>
    </font>
    <font>
      <sz val="14"/>
      <color theme="1"/>
      <name val="Calibri"/>
      <family val="2"/>
    </font>
    <font>
      <b/>
      <sz val="14"/>
      <color theme="1"/>
      <name val="Calibri"/>
      <family val="2"/>
    </font>
    <font>
      <b/>
      <sz val="11"/>
      <color theme="1"/>
      <name val="Calibri"/>
      <family val="2"/>
    </font>
    <font>
      <sz val="12"/>
      <color theme="1"/>
      <name val="Calibri"/>
      <family val="2"/>
    </font>
    <font>
      <b/>
      <sz val="12"/>
      <color theme="1"/>
      <name val="Calibri"/>
      <family val="2"/>
    </font>
    <font>
      <sz val="12"/>
      <color theme="1"/>
      <name val="Aptos Narrow"/>
      <family val="2"/>
      <scheme val="minor"/>
    </font>
    <font>
      <b/>
      <sz val="12"/>
      <color rgb="FF1F1F1F"/>
      <name val="Calibri"/>
      <family val="2"/>
    </font>
    <font>
      <sz val="12"/>
      <color rgb="FF1F1F1F"/>
      <name val="Calibri"/>
      <family val="2"/>
    </font>
    <font>
      <sz val="11"/>
      <color indexed="8"/>
      <name val="Calibri"/>
      <family val="2"/>
    </font>
    <font>
      <b/>
      <sz val="11"/>
      <color indexed="8"/>
      <name val="Calibri"/>
      <family val="2"/>
    </font>
    <font>
      <b/>
      <sz val="14"/>
      <color indexed="8"/>
      <name val="Calibri"/>
      <family val="2"/>
    </font>
    <font>
      <sz val="14"/>
      <color indexed="8"/>
      <name val="Calibri"/>
      <family val="2"/>
    </font>
    <font>
      <b/>
      <sz val="12"/>
      <color indexed="8"/>
      <name val="Calibri"/>
      <family val="2"/>
    </font>
    <font>
      <sz val="12"/>
      <color indexed="8"/>
      <name val="Calibri"/>
      <family val="2"/>
    </font>
  </fonts>
  <fills count="5">
    <fill>
      <patternFill patternType="none"/>
    </fill>
    <fill>
      <patternFill patternType="gray125"/>
    </fill>
    <fill>
      <patternFill patternType="solid">
        <fgColor theme="6" tint="0.39997558519241921"/>
        <bgColor indexed="64"/>
      </patternFill>
    </fill>
    <fill>
      <patternFill patternType="solid">
        <fgColor theme="8" tint="0.59999389629810485"/>
        <bgColor indexed="64"/>
      </patternFill>
    </fill>
    <fill>
      <patternFill patternType="solid">
        <fgColor theme="7"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2" fillId="0" borderId="0" xfId="0" applyFont="1"/>
    <xf numFmtId="0" fontId="3" fillId="2" borderId="0" xfId="0" applyFont="1" applyFill="1" applyAlignment="1">
      <alignment horizontal="center"/>
    </xf>
    <xf numFmtId="0" fontId="3" fillId="0" borderId="0" xfId="0" applyFont="1" applyFill="1" applyAlignment="1"/>
    <xf numFmtId="0" fontId="4" fillId="0" borderId="0" xfId="0" applyFont="1"/>
    <xf numFmtId="0" fontId="5" fillId="3" borderId="0" xfId="0" applyFont="1" applyFill="1"/>
    <xf numFmtId="0" fontId="1" fillId="3" borderId="0" xfId="0" applyFont="1" applyFill="1"/>
    <xf numFmtId="0" fontId="0" fillId="0" borderId="0" xfId="0" applyFont="1"/>
    <xf numFmtId="0" fontId="4" fillId="3" borderId="0" xfId="0" applyFont="1" applyFill="1"/>
    <xf numFmtId="0" fontId="6" fillId="0" borderId="0" xfId="0" applyFont="1"/>
    <xf numFmtId="0" fontId="7" fillId="0" borderId="0" xfId="0" applyFont="1"/>
    <xf numFmtId="0" fontId="8" fillId="0" borderId="0" xfId="0" applyFont="1"/>
    <xf numFmtId="0" fontId="7" fillId="0" borderId="0" xfId="0" applyFont="1" applyAlignment="1">
      <alignment horizontal="left" vertical="center" indent="1"/>
    </xf>
    <xf numFmtId="168" fontId="7" fillId="0" borderId="0" xfId="0" applyNumberFormat="1" applyFont="1" applyAlignment="1">
      <alignment horizontal="left" vertical="center" indent="1"/>
    </xf>
    <xf numFmtId="0" fontId="7" fillId="3" borderId="0" xfId="0" applyFont="1" applyFill="1"/>
    <xf numFmtId="0" fontId="0" fillId="3" borderId="0" xfId="0" applyFill="1"/>
    <xf numFmtId="0" fontId="9" fillId="0" borderId="0" xfId="0" applyFont="1"/>
    <xf numFmtId="0" fontId="10" fillId="0" borderId="3" xfId="0" applyFont="1" applyBorder="1" applyAlignment="1">
      <alignment horizontal="left" vertical="center" wrapText="1" indent="1" readingOrder="1"/>
    </xf>
    <xf numFmtId="0" fontId="10" fillId="0" borderId="4" xfId="0" applyFont="1" applyBorder="1" applyAlignment="1">
      <alignment horizontal="left" vertical="center" wrapText="1" indent="1" readingOrder="1"/>
    </xf>
    <xf numFmtId="0" fontId="10" fillId="0" borderId="5" xfId="0" applyFont="1" applyBorder="1" applyAlignment="1">
      <alignment horizontal="left" vertical="center" wrapText="1" indent="1" readingOrder="1"/>
    </xf>
    <xf numFmtId="0" fontId="10" fillId="0" borderId="2" xfId="0" applyFont="1" applyBorder="1" applyAlignment="1">
      <alignment horizontal="left" vertical="center" wrapText="1" indent="1" readingOrder="1"/>
    </xf>
    <xf numFmtId="0" fontId="11" fillId="0" borderId="2" xfId="0" applyFont="1" applyBorder="1" applyAlignment="1">
      <alignment horizontal="left" vertical="center" wrapText="1" indent="1" readingOrder="1"/>
    </xf>
    <xf numFmtId="0" fontId="10" fillId="0" borderId="1" xfId="0" applyFont="1" applyBorder="1" applyAlignment="1">
      <alignment horizontal="left" vertical="center" wrapText="1" indent="1" readingOrder="1"/>
    </xf>
    <xf numFmtId="0" fontId="11" fillId="0" borderId="1" xfId="0" applyFont="1" applyBorder="1" applyAlignment="1">
      <alignment horizontal="left" vertical="center" wrapText="1" indent="1" readingOrder="1"/>
    </xf>
    <xf numFmtId="0" fontId="12" fillId="0" borderId="0" xfId="0" applyNumberFormat="1" applyFont="1" applyFill="1" applyBorder="1" applyAlignment="1" applyProtection="1"/>
    <xf numFmtId="0" fontId="13" fillId="0" borderId="0" xfId="0" applyNumberFormat="1" applyFont="1" applyFill="1" applyBorder="1" applyAlignment="1" applyProtection="1">
      <alignment horizontal="center" vertical="top"/>
    </xf>
    <xf numFmtId="0" fontId="0" fillId="0" borderId="0" xfId="0" applyBorder="1"/>
    <xf numFmtId="0" fontId="6" fillId="4" borderId="0" xfId="0" applyFont="1" applyFill="1"/>
    <xf numFmtId="0" fontId="14" fillId="0" borderId="0" xfId="0" applyNumberFormat="1" applyFont="1" applyFill="1" applyBorder="1" applyAlignment="1" applyProtection="1">
      <alignment horizontal="center" vertical="top"/>
    </xf>
    <xf numFmtId="0" fontId="15" fillId="0" borderId="1" xfId="0" applyNumberFormat="1" applyFont="1" applyFill="1" applyBorder="1" applyAlignment="1" applyProtection="1"/>
    <xf numFmtId="0" fontId="4" fillId="0" borderId="0" xfId="0" applyFont="1" applyBorder="1"/>
    <xf numFmtId="0" fontId="15" fillId="0" borderId="0" xfId="0" applyNumberFormat="1" applyFont="1" applyFill="1" applyBorder="1" applyAlignment="1" applyProtection="1"/>
    <xf numFmtId="0" fontId="14" fillId="3" borderId="1" xfId="0" applyNumberFormat="1" applyFont="1" applyFill="1" applyBorder="1" applyAlignment="1" applyProtection="1">
      <alignment horizontal="center" vertical="top"/>
    </xf>
    <xf numFmtId="0" fontId="14" fillId="4" borderId="1" xfId="0" applyNumberFormat="1" applyFont="1" applyFill="1" applyBorder="1" applyAlignment="1" applyProtection="1"/>
    <xf numFmtId="0" fontId="4" fillId="0" borderId="1" xfId="0" applyFont="1" applyBorder="1" applyAlignment="1">
      <alignment horizontal="center"/>
    </xf>
    <xf numFmtId="0" fontId="6" fillId="3" borderId="0" xfId="0" applyFont="1" applyFill="1"/>
    <xf numFmtId="0" fontId="5" fillId="3" borderId="1" xfId="0" applyFont="1" applyFill="1" applyBorder="1" applyAlignment="1">
      <alignment horizontal="center"/>
    </xf>
    <xf numFmtId="0" fontId="5" fillId="4" borderId="0" xfId="0" applyFont="1" applyFill="1"/>
    <xf numFmtId="171" fontId="7" fillId="4" borderId="0" xfId="0" applyNumberFormat="1" applyFont="1" applyFill="1"/>
    <xf numFmtId="171" fontId="8" fillId="0" borderId="0" xfId="0" applyNumberFormat="1" applyFont="1"/>
    <xf numFmtId="0" fontId="7" fillId="4" borderId="0" xfId="0" applyFont="1" applyFill="1"/>
    <xf numFmtId="0" fontId="4" fillId="4" borderId="0" xfId="0" applyFont="1" applyFill="1"/>
    <xf numFmtId="0" fontId="4" fillId="0" borderId="1" xfId="0" applyFont="1" applyBorder="1"/>
    <xf numFmtId="0" fontId="5" fillId="3" borderId="1" xfId="0" applyFont="1" applyFill="1" applyBorder="1" applyAlignment="1">
      <alignment horizontal="center" vertical="center"/>
    </xf>
    <xf numFmtId="0" fontId="5" fillId="0" borderId="1" xfId="0" applyFont="1" applyBorder="1" applyAlignment="1">
      <alignment horizontal="center"/>
    </xf>
    <xf numFmtId="171" fontId="8" fillId="4" borderId="0" xfId="0" applyNumberFormat="1" applyFont="1" applyFill="1" applyAlignment="1">
      <alignment horizontal="left" indent="3"/>
    </xf>
    <xf numFmtId="0" fontId="16" fillId="0" borderId="0" xfId="0" applyNumberFormat="1" applyFont="1" applyFill="1" applyBorder="1" applyAlignment="1" applyProtection="1">
      <alignment horizontal="center" vertical="top"/>
    </xf>
    <xf numFmtId="0" fontId="17" fillId="0" borderId="0" xfId="0" applyNumberFormat="1" applyFont="1" applyFill="1" applyBorder="1" applyAlignment="1" applyProtection="1"/>
    <xf numFmtId="0" fontId="16" fillId="0" borderId="0" xfId="0" applyNumberFormat="1" applyFont="1" applyFill="1" applyBorder="1" applyAlignment="1" applyProtection="1"/>
    <xf numFmtId="0" fontId="7"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17</xdr:row>
      <xdr:rowOff>28577</xdr:rowOff>
    </xdr:from>
    <xdr:to>
      <xdr:col>4</xdr:col>
      <xdr:colOff>581023</xdr:colOff>
      <xdr:row>30</xdr:row>
      <xdr:rowOff>66675</xdr:rowOff>
    </xdr:to>
    <xdr:pic>
      <xdr:nvPicPr>
        <xdr:cNvPr id="2" name="Picture 1" descr="Image of a negative correlation scatter plot">
          <a:extLst>
            <a:ext uri="{FF2B5EF4-FFF2-40B4-BE49-F238E27FC236}">
              <a16:creationId xmlns:a16="http://schemas.microsoft.com/office/drawing/2014/main" id="{60DA0C05-5EF0-5512-4269-A71BFB1DA9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4029077"/>
          <a:ext cx="2514598" cy="2514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9323-EA85-40E4-B549-C9F3A9EDA7E6}">
  <dimension ref="A2:E13"/>
  <sheetViews>
    <sheetView tabSelected="1" workbookViewId="0">
      <selection activeCell="A6" sqref="A6"/>
    </sheetView>
  </sheetViews>
  <sheetFormatPr defaultRowHeight="15" x14ac:dyDescent="0.25"/>
  <cols>
    <col min="2" max="2" width="23.5703125" customWidth="1"/>
    <col min="3" max="3" width="39.42578125" customWidth="1"/>
    <col min="4" max="4" width="47" customWidth="1"/>
  </cols>
  <sheetData>
    <row r="2" spans="1:5" ht="21" x14ac:dyDescent="0.35">
      <c r="C2" s="2" t="s">
        <v>0</v>
      </c>
      <c r="D2" s="3"/>
      <c r="E2" s="3"/>
    </row>
    <row r="4" spans="1:5" ht="18.75" x14ac:dyDescent="0.3">
      <c r="A4" s="5" t="s">
        <v>1</v>
      </c>
      <c r="B4" s="5"/>
      <c r="C4" s="5"/>
      <c r="D4" s="5"/>
    </row>
    <row r="5" spans="1:5" ht="18.75" x14ac:dyDescent="0.3">
      <c r="A5" s="4"/>
      <c r="B5" s="4"/>
      <c r="C5" s="4"/>
      <c r="D5" s="4"/>
    </row>
    <row r="6" spans="1:5" ht="18.75" x14ac:dyDescent="0.3">
      <c r="A6" s="4" t="s">
        <v>2</v>
      </c>
      <c r="B6" s="4"/>
      <c r="C6" s="4"/>
      <c r="D6" s="4"/>
    </row>
    <row r="7" spans="1:5" ht="15.75" x14ac:dyDescent="0.25">
      <c r="A7" s="10" t="s">
        <v>13</v>
      </c>
      <c r="B7" s="10"/>
      <c r="C7" s="10"/>
      <c r="D7" s="10"/>
    </row>
    <row r="8" spans="1:5" ht="16.5" thickBot="1" x14ac:dyDescent="0.3">
      <c r="A8" s="10"/>
      <c r="B8" s="10"/>
      <c r="C8" s="10"/>
      <c r="D8" s="10"/>
    </row>
    <row r="9" spans="1:5" ht="16.5" thickBot="1" x14ac:dyDescent="0.3">
      <c r="A9" s="10"/>
      <c r="B9" s="17" t="s">
        <v>3</v>
      </c>
      <c r="C9" s="18" t="s">
        <v>4</v>
      </c>
      <c r="D9" s="19" t="s">
        <v>5</v>
      </c>
    </row>
    <row r="10" spans="1:5" ht="47.25" x14ac:dyDescent="0.25">
      <c r="A10" s="10"/>
      <c r="B10" s="20" t="s">
        <v>6</v>
      </c>
      <c r="C10" s="21" t="s">
        <v>33</v>
      </c>
      <c r="D10" s="21" t="s">
        <v>34</v>
      </c>
    </row>
    <row r="11" spans="1:5" ht="31.5" x14ac:dyDescent="0.25">
      <c r="A11" s="10"/>
      <c r="B11" s="22" t="s">
        <v>7</v>
      </c>
      <c r="C11" s="23" t="s">
        <v>10</v>
      </c>
      <c r="D11" s="23" t="s">
        <v>35</v>
      </c>
    </row>
    <row r="12" spans="1:5" ht="31.5" x14ac:dyDescent="0.25">
      <c r="A12" s="10"/>
      <c r="B12" s="22" t="s">
        <v>8</v>
      </c>
      <c r="C12" s="23" t="s">
        <v>36</v>
      </c>
      <c r="D12" s="23" t="s">
        <v>37</v>
      </c>
    </row>
    <row r="13" spans="1:5" ht="47.25" x14ac:dyDescent="0.25">
      <c r="A13" s="10"/>
      <c r="B13" s="22" t="s">
        <v>9</v>
      </c>
      <c r="C13" s="23" t="s">
        <v>11</v>
      </c>
      <c r="D13" s="2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8CC5-EB08-4E3B-9F1A-C41274BFAFF0}">
  <dimension ref="A2:AC15"/>
  <sheetViews>
    <sheetView workbookViewId="0">
      <selection activeCell="L18" sqref="L18"/>
    </sheetView>
  </sheetViews>
  <sheetFormatPr defaultRowHeight="15" x14ac:dyDescent="0.25"/>
  <sheetData>
    <row r="2" spans="1:29" ht="18.75" x14ac:dyDescent="0.3">
      <c r="A2" s="5" t="s">
        <v>14</v>
      </c>
      <c r="B2" s="5"/>
      <c r="C2" s="5"/>
      <c r="D2" s="5"/>
      <c r="E2" s="5"/>
      <c r="F2" s="5"/>
      <c r="G2" s="5"/>
      <c r="H2" s="5"/>
      <c r="I2" s="5"/>
      <c r="J2" s="5"/>
      <c r="K2" s="5"/>
      <c r="L2" s="6"/>
      <c r="M2" s="6"/>
      <c r="N2" s="6"/>
    </row>
    <row r="3" spans="1:29" ht="18.75" x14ac:dyDescent="0.3">
      <c r="A3" s="4"/>
      <c r="B3" s="4"/>
      <c r="C3" s="4"/>
      <c r="D3" s="4"/>
      <c r="E3" s="4"/>
      <c r="F3" s="4"/>
      <c r="G3" s="4"/>
      <c r="H3" s="4"/>
      <c r="I3" s="4"/>
      <c r="J3" s="4"/>
      <c r="K3" s="4"/>
    </row>
    <row r="4" spans="1:29" ht="18.75" x14ac:dyDescent="0.3">
      <c r="A4" s="4" t="s">
        <v>2</v>
      </c>
      <c r="B4" s="4"/>
      <c r="C4" s="4"/>
      <c r="D4" s="4"/>
      <c r="E4" s="4"/>
      <c r="F4" s="4"/>
      <c r="G4" s="4"/>
      <c r="H4" s="4"/>
      <c r="I4" s="4"/>
      <c r="J4" s="4"/>
      <c r="K4" s="4"/>
    </row>
    <row r="5" spans="1:29" ht="15.75" x14ac:dyDescent="0.25">
      <c r="A5" s="13" t="s">
        <v>15</v>
      </c>
      <c r="B5" s="10"/>
      <c r="C5" s="10"/>
      <c r="D5" s="10"/>
      <c r="E5" s="10"/>
      <c r="F5" s="10"/>
      <c r="G5" s="10"/>
      <c r="H5" s="10"/>
      <c r="I5" s="10"/>
      <c r="J5" s="10"/>
      <c r="K5" s="10"/>
      <c r="L5" s="10"/>
      <c r="M5" s="10"/>
      <c r="N5" s="10"/>
      <c r="O5" s="10"/>
      <c r="P5" s="10"/>
      <c r="Q5" s="10"/>
      <c r="R5" s="10"/>
      <c r="S5" s="10"/>
      <c r="T5" s="10"/>
      <c r="U5" s="16"/>
      <c r="V5" s="16"/>
      <c r="W5" s="16"/>
      <c r="X5" s="16"/>
      <c r="Y5" s="16"/>
      <c r="Z5" s="16"/>
      <c r="AA5" s="16"/>
      <c r="AB5" s="16"/>
      <c r="AC5" s="16"/>
    </row>
    <row r="6" spans="1:29" ht="15.75" x14ac:dyDescent="0.25">
      <c r="A6" s="13"/>
      <c r="B6" s="10"/>
      <c r="C6" s="10"/>
      <c r="D6" s="10"/>
      <c r="E6" s="10"/>
      <c r="F6" s="10"/>
      <c r="G6" s="10"/>
      <c r="H6" s="10"/>
      <c r="I6" s="10"/>
      <c r="J6" s="10"/>
      <c r="K6" s="10"/>
      <c r="L6" s="10"/>
      <c r="M6" s="10"/>
      <c r="N6" s="10"/>
      <c r="O6" s="10"/>
      <c r="P6" s="10"/>
      <c r="Q6" s="10"/>
      <c r="R6" s="10"/>
      <c r="S6" s="10"/>
      <c r="T6" s="10"/>
      <c r="U6" s="16"/>
      <c r="V6" s="16"/>
      <c r="W6" s="16"/>
      <c r="X6" s="16"/>
      <c r="Y6" s="16"/>
      <c r="Z6" s="16"/>
      <c r="AA6" s="16"/>
      <c r="AB6" s="16"/>
      <c r="AC6" s="16"/>
    </row>
    <row r="7" spans="1:29" ht="15.75" x14ac:dyDescent="0.25">
      <c r="A7" s="13" t="s">
        <v>16</v>
      </c>
      <c r="B7" s="10"/>
      <c r="C7" s="10"/>
      <c r="D7" s="10"/>
      <c r="E7" s="10"/>
      <c r="F7" s="10"/>
      <c r="G7" s="10"/>
      <c r="H7" s="10"/>
      <c r="I7" s="10"/>
      <c r="J7" s="10"/>
      <c r="K7" s="10"/>
      <c r="L7" s="10"/>
      <c r="M7" s="10"/>
      <c r="N7" s="10"/>
      <c r="O7" s="10"/>
      <c r="P7" s="10"/>
      <c r="Q7" s="10"/>
      <c r="R7" s="10"/>
      <c r="S7" s="10"/>
      <c r="T7" s="10"/>
      <c r="U7" s="16"/>
      <c r="V7" s="16"/>
      <c r="W7" s="16"/>
      <c r="X7" s="16"/>
      <c r="Y7" s="16"/>
      <c r="Z7" s="16"/>
      <c r="AA7" s="16"/>
      <c r="AB7" s="16"/>
      <c r="AC7" s="16"/>
    </row>
    <row r="8" spans="1:29" ht="15.75" x14ac:dyDescent="0.25">
      <c r="A8" s="13"/>
      <c r="B8" s="10"/>
      <c r="C8" s="10"/>
      <c r="D8" s="10"/>
      <c r="E8" s="10"/>
      <c r="F8" s="10"/>
      <c r="G8" s="10"/>
      <c r="H8" s="10"/>
      <c r="I8" s="10"/>
      <c r="J8" s="10"/>
      <c r="K8" s="10"/>
      <c r="L8" s="10"/>
      <c r="M8" s="10"/>
      <c r="N8" s="10"/>
      <c r="O8" s="10"/>
      <c r="P8" s="10"/>
      <c r="Q8" s="10"/>
      <c r="R8" s="10"/>
      <c r="S8" s="10"/>
      <c r="T8" s="10"/>
      <c r="U8" s="16"/>
      <c r="V8" s="16"/>
      <c r="W8" s="16"/>
      <c r="X8" s="16"/>
      <c r="Y8" s="16"/>
      <c r="Z8" s="16"/>
      <c r="AA8" s="16"/>
      <c r="AB8" s="16"/>
      <c r="AC8" s="16"/>
    </row>
    <row r="9" spans="1:29" ht="15.75" x14ac:dyDescent="0.25">
      <c r="A9" s="13" t="s">
        <v>17</v>
      </c>
      <c r="B9" s="10"/>
      <c r="C9" s="10"/>
      <c r="D9" s="10"/>
      <c r="E9" s="10"/>
      <c r="F9" s="10"/>
      <c r="G9" s="10"/>
      <c r="H9" s="10"/>
      <c r="I9" s="10"/>
      <c r="J9" s="10"/>
      <c r="K9" s="10"/>
      <c r="L9" s="10"/>
      <c r="M9" s="10"/>
      <c r="N9" s="10"/>
      <c r="O9" s="10"/>
      <c r="P9" s="10"/>
      <c r="Q9" s="10"/>
      <c r="R9" s="10"/>
      <c r="S9" s="10"/>
      <c r="T9" s="10"/>
      <c r="U9" s="16"/>
      <c r="V9" s="16"/>
      <c r="W9" s="16"/>
      <c r="X9" s="16"/>
      <c r="Y9" s="16"/>
      <c r="Z9" s="16"/>
      <c r="AA9" s="16"/>
      <c r="AB9" s="16"/>
      <c r="AC9" s="16"/>
    </row>
    <row r="10" spans="1:29" ht="15.75" x14ac:dyDescent="0.25">
      <c r="A10" s="10"/>
      <c r="B10" s="10"/>
      <c r="C10" s="10"/>
      <c r="D10" s="10"/>
      <c r="E10" s="10"/>
      <c r="F10" s="10"/>
      <c r="G10" s="10"/>
      <c r="H10" s="10"/>
      <c r="I10" s="10"/>
      <c r="J10" s="10"/>
      <c r="K10" s="10"/>
      <c r="L10" s="10"/>
      <c r="M10" s="10"/>
      <c r="N10" s="10"/>
      <c r="O10" s="10"/>
      <c r="P10" s="10"/>
      <c r="Q10" s="10"/>
      <c r="R10" s="10"/>
      <c r="S10" s="10"/>
      <c r="T10" s="10"/>
      <c r="U10" s="16"/>
      <c r="V10" s="16"/>
      <c r="W10" s="16"/>
      <c r="X10" s="16"/>
      <c r="Y10" s="16"/>
      <c r="Z10" s="16"/>
      <c r="AA10" s="16"/>
      <c r="AB10" s="16"/>
      <c r="AC10" s="16"/>
    </row>
    <row r="11" spans="1:29" ht="15.75" x14ac:dyDescent="0.25">
      <c r="A11" s="10" t="s">
        <v>32</v>
      </c>
      <c r="B11" s="10"/>
      <c r="C11" s="10"/>
      <c r="D11" s="10"/>
      <c r="E11" s="10"/>
      <c r="F11" s="10"/>
      <c r="G11" s="10"/>
      <c r="H11" s="10"/>
      <c r="I11" s="10"/>
      <c r="J11" s="10"/>
      <c r="K11" s="10"/>
      <c r="L11" s="10"/>
      <c r="M11" s="10"/>
      <c r="N11" s="10"/>
      <c r="O11" s="10"/>
      <c r="P11" s="10"/>
      <c r="Q11" s="10"/>
      <c r="R11" s="10"/>
      <c r="S11" s="10"/>
      <c r="T11" s="10"/>
      <c r="U11" s="16"/>
      <c r="V11" s="16"/>
      <c r="W11" s="16"/>
      <c r="X11" s="16"/>
      <c r="Y11" s="16"/>
      <c r="Z11" s="16"/>
      <c r="AA11" s="16"/>
      <c r="AB11" s="16"/>
      <c r="AC11" s="16"/>
    </row>
    <row r="12" spans="1:29" ht="15.75"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row>
    <row r="13" spans="1:29" ht="15.75"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ht="15.75"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spans="1:29" ht="15.75"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7746-0DEB-4AD2-8DB0-67A383F2343D}">
  <dimension ref="A2:AB16"/>
  <sheetViews>
    <sheetView workbookViewId="0">
      <selection activeCell="A4" sqref="A4"/>
    </sheetView>
  </sheetViews>
  <sheetFormatPr defaultRowHeight="15" x14ac:dyDescent="0.25"/>
  <sheetData>
    <row r="2" spans="1:28" ht="18.75" x14ac:dyDescent="0.3">
      <c r="A2" s="5" t="s">
        <v>18</v>
      </c>
      <c r="B2" s="5"/>
      <c r="C2" s="5"/>
      <c r="D2" s="5"/>
      <c r="E2" s="5"/>
      <c r="F2" s="5"/>
      <c r="G2" s="5"/>
      <c r="H2" s="5"/>
      <c r="I2" s="5"/>
      <c r="J2" s="5"/>
      <c r="K2" s="5"/>
      <c r="L2" s="5"/>
      <c r="M2" s="5"/>
      <c r="N2" s="5"/>
      <c r="O2" s="5"/>
      <c r="P2" s="5"/>
      <c r="Q2" s="5"/>
      <c r="R2" s="8"/>
      <c r="S2" s="4"/>
    </row>
    <row r="3" spans="1:28" ht="18.75" x14ac:dyDescent="0.3">
      <c r="A3" s="4"/>
      <c r="B3" s="4"/>
      <c r="C3" s="4"/>
      <c r="D3" s="4"/>
      <c r="E3" s="4"/>
      <c r="F3" s="4"/>
      <c r="G3" s="4"/>
      <c r="H3" s="4"/>
      <c r="I3" s="4"/>
      <c r="J3" s="4"/>
      <c r="K3" s="4"/>
      <c r="L3" s="4"/>
      <c r="M3" s="4"/>
      <c r="N3" s="4"/>
      <c r="O3" s="4"/>
      <c r="P3" s="4"/>
      <c r="Q3" s="4"/>
      <c r="R3" s="4"/>
      <c r="S3" s="4"/>
    </row>
    <row r="4" spans="1:28" ht="18.75" x14ac:dyDescent="0.3">
      <c r="A4" s="4" t="s">
        <v>2</v>
      </c>
      <c r="B4" s="4"/>
      <c r="C4" s="4"/>
      <c r="D4" s="4"/>
      <c r="E4" s="4"/>
      <c r="F4" s="4"/>
      <c r="G4" s="4"/>
      <c r="H4" s="4"/>
      <c r="I4" s="4"/>
      <c r="J4" s="4"/>
      <c r="K4" s="4"/>
      <c r="L4" s="4"/>
      <c r="M4" s="4"/>
      <c r="N4" s="4"/>
      <c r="O4" s="4"/>
      <c r="P4" s="4"/>
      <c r="Q4" s="4"/>
      <c r="R4" s="4"/>
      <c r="S4" s="4"/>
    </row>
    <row r="5" spans="1:28" ht="15.75" x14ac:dyDescent="0.25">
      <c r="A5" s="11" t="s">
        <v>19</v>
      </c>
      <c r="B5" s="10"/>
      <c r="C5" s="10"/>
      <c r="D5" s="10"/>
      <c r="E5" s="10"/>
      <c r="F5" s="10"/>
      <c r="G5" s="10"/>
      <c r="H5" s="10"/>
      <c r="I5" s="10"/>
      <c r="J5" s="10"/>
      <c r="K5" s="10"/>
      <c r="L5" s="10"/>
      <c r="M5" s="10"/>
      <c r="N5" s="10"/>
      <c r="O5" s="10"/>
      <c r="P5" s="10"/>
      <c r="Q5" s="10"/>
      <c r="R5" s="10"/>
      <c r="S5" s="10"/>
    </row>
    <row r="6" spans="1:28" ht="15.75" x14ac:dyDescent="0.25">
      <c r="A6" s="13" t="s">
        <v>38</v>
      </c>
      <c r="B6" s="10"/>
      <c r="C6" s="10"/>
      <c r="D6" s="10"/>
      <c r="E6" s="10"/>
      <c r="F6" s="10"/>
      <c r="G6" s="10"/>
      <c r="H6" s="10"/>
      <c r="I6" s="10"/>
      <c r="J6" s="10"/>
      <c r="K6" s="10"/>
      <c r="L6" s="10"/>
      <c r="M6" s="10"/>
      <c r="N6" s="10"/>
      <c r="O6" s="10"/>
      <c r="P6" s="10"/>
      <c r="Q6" s="10"/>
      <c r="R6" s="10"/>
      <c r="S6" s="10"/>
    </row>
    <row r="7" spans="1:28" ht="15.75" x14ac:dyDescent="0.25">
      <c r="A7" s="13"/>
      <c r="B7" s="10"/>
      <c r="C7" s="10"/>
      <c r="D7" s="10"/>
      <c r="E7" s="10"/>
      <c r="F7" s="10"/>
      <c r="G7" s="10"/>
      <c r="H7" s="10"/>
      <c r="I7" s="10"/>
      <c r="J7" s="10"/>
      <c r="K7" s="10"/>
      <c r="L7" s="10"/>
      <c r="M7" s="10"/>
      <c r="N7" s="10"/>
      <c r="O7" s="10"/>
      <c r="P7" s="10"/>
      <c r="Q7" s="10"/>
      <c r="R7" s="10"/>
      <c r="S7" s="10"/>
    </row>
    <row r="8" spans="1:28" ht="15.75" x14ac:dyDescent="0.25">
      <c r="A8" s="13" t="s">
        <v>39</v>
      </c>
      <c r="B8" s="10"/>
      <c r="C8" s="10"/>
      <c r="D8" s="10"/>
      <c r="E8" s="10"/>
      <c r="F8" s="10"/>
      <c r="G8" s="10"/>
      <c r="H8" s="10"/>
      <c r="I8" s="10"/>
      <c r="J8" s="10"/>
      <c r="K8" s="10"/>
      <c r="L8" s="10"/>
      <c r="M8" s="10"/>
      <c r="N8" s="10"/>
      <c r="O8" s="10"/>
      <c r="P8" s="10"/>
      <c r="Q8" s="10"/>
      <c r="R8" s="10"/>
      <c r="S8" s="10"/>
    </row>
    <row r="9" spans="1:28" ht="15.75" x14ac:dyDescent="0.25">
      <c r="A9" s="13"/>
      <c r="B9" s="10"/>
      <c r="C9" s="10"/>
      <c r="D9" s="10"/>
      <c r="E9" s="10"/>
      <c r="F9" s="10"/>
      <c r="G9" s="10"/>
      <c r="H9" s="10"/>
      <c r="I9" s="10"/>
      <c r="J9" s="10"/>
      <c r="K9" s="10"/>
      <c r="L9" s="10"/>
      <c r="M9" s="10"/>
      <c r="N9" s="10"/>
      <c r="O9" s="10"/>
      <c r="P9" s="10"/>
      <c r="Q9" s="10"/>
      <c r="R9" s="10"/>
      <c r="S9" s="10"/>
    </row>
    <row r="10" spans="1:28" ht="15.75" x14ac:dyDescent="0.25">
      <c r="A10" s="13" t="s">
        <v>40</v>
      </c>
      <c r="B10" s="10"/>
      <c r="C10" s="10"/>
      <c r="D10" s="10"/>
      <c r="E10" s="10"/>
      <c r="F10" s="10"/>
      <c r="G10" s="10"/>
      <c r="H10" s="10"/>
      <c r="I10" s="10"/>
      <c r="J10" s="10"/>
      <c r="K10" s="10"/>
      <c r="L10" s="10"/>
      <c r="M10" s="10"/>
      <c r="N10" s="10"/>
      <c r="O10" s="10"/>
      <c r="P10" s="10"/>
      <c r="Q10" s="10"/>
      <c r="R10" s="10"/>
      <c r="S10" s="10"/>
    </row>
    <row r="11" spans="1:28" ht="15.75" x14ac:dyDescent="0.25">
      <c r="N11" s="10"/>
      <c r="O11" s="10"/>
      <c r="P11" s="10"/>
      <c r="Q11" s="10"/>
      <c r="R11" s="10"/>
      <c r="S11" s="10"/>
    </row>
    <row r="12" spans="1:28" ht="15.75" x14ac:dyDescent="0.25">
      <c r="A12" s="11" t="s">
        <v>20</v>
      </c>
      <c r="B12" s="10"/>
      <c r="C12" s="10"/>
      <c r="D12" s="10"/>
      <c r="E12" s="10"/>
      <c r="F12" s="10"/>
      <c r="G12" s="10"/>
      <c r="H12" s="10"/>
      <c r="I12" s="10"/>
      <c r="J12" s="10"/>
      <c r="K12" s="10"/>
      <c r="L12" s="10"/>
      <c r="M12" s="10"/>
      <c r="N12" s="10"/>
      <c r="O12" s="10"/>
      <c r="P12" s="10"/>
      <c r="Q12" s="10"/>
      <c r="R12" s="10"/>
      <c r="S12" s="10"/>
    </row>
    <row r="13" spans="1:28" ht="15.75" x14ac:dyDescent="0.25">
      <c r="A13" s="10" t="s">
        <v>21</v>
      </c>
      <c r="B13" s="10"/>
      <c r="C13" s="10"/>
      <c r="D13" s="10"/>
      <c r="E13" s="10"/>
      <c r="F13" s="10"/>
      <c r="G13" s="10"/>
      <c r="H13" s="10"/>
      <c r="I13" s="10"/>
      <c r="J13" s="10"/>
      <c r="K13" s="10"/>
      <c r="L13" s="10"/>
      <c r="M13" s="10"/>
      <c r="N13" s="10"/>
      <c r="O13" s="10"/>
      <c r="P13" s="10"/>
      <c r="Q13" s="10"/>
      <c r="R13" s="10"/>
      <c r="S13" s="10"/>
    </row>
    <row r="14" spans="1:28" ht="15.75" x14ac:dyDescent="0.25">
      <c r="A14" s="10" t="s">
        <v>22</v>
      </c>
      <c r="B14" s="10"/>
      <c r="C14" s="10"/>
      <c r="D14" s="10"/>
      <c r="E14" s="10"/>
      <c r="F14" s="10"/>
      <c r="G14" s="10"/>
      <c r="H14" s="10"/>
      <c r="I14" s="10"/>
      <c r="J14" s="10"/>
      <c r="K14" s="10"/>
      <c r="L14" s="10"/>
      <c r="M14" s="10"/>
      <c r="N14" s="10"/>
      <c r="O14" s="10"/>
      <c r="P14" s="10"/>
      <c r="Q14" s="10"/>
      <c r="R14" s="10"/>
      <c r="S14" s="10"/>
      <c r="T14" s="7"/>
      <c r="U14" s="7"/>
      <c r="V14" s="7"/>
      <c r="W14" s="7"/>
      <c r="X14" s="7"/>
      <c r="Y14" s="7"/>
      <c r="Z14" s="7"/>
      <c r="AA14" s="7"/>
      <c r="AB14" s="7"/>
    </row>
    <row r="15" spans="1:28" ht="18.75" x14ac:dyDescent="0.3">
      <c r="A15" s="4"/>
      <c r="B15" s="4"/>
      <c r="C15" s="4"/>
      <c r="D15" s="4"/>
      <c r="E15" s="4"/>
      <c r="F15" s="4"/>
      <c r="G15" s="4"/>
      <c r="H15" s="4"/>
      <c r="I15" s="4"/>
      <c r="J15" s="4"/>
      <c r="K15" s="4"/>
      <c r="L15" s="4"/>
      <c r="M15" s="4"/>
      <c r="N15" s="4"/>
      <c r="O15" s="4"/>
      <c r="P15" s="4"/>
      <c r="Q15" s="10"/>
      <c r="R15" s="10"/>
      <c r="S15" s="10"/>
      <c r="T15" s="7"/>
      <c r="U15" s="7"/>
      <c r="V15" s="7"/>
      <c r="W15" s="7"/>
      <c r="X15" s="7"/>
      <c r="Y15" s="7"/>
      <c r="Z15" s="7"/>
      <c r="AA15" s="7"/>
      <c r="AB15" s="7"/>
    </row>
    <row r="16" spans="1:28" ht="18.75" x14ac:dyDescent="0.3">
      <c r="Q16" s="4"/>
      <c r="R16" s="4"/>
      <c r="S16" s="4"/>
      <c r="T16" s="7"/>
      <c r="U16" s="7"/>
      <c r="V16" s="7"/>
      <c r="W16" s="7"/>
      <c r="X16" s="7"/>
      <c r="Y16" s="7"/>
      <c r="Z16" s="7"/>
      <c r="AA16" s="7"/>
      <c r="AB1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40856-AEE4-4C27-86DF-25B0881C63B7}">
  <dimension ref="A2:U17"/>
  <sheetViews>
    <sheetView workbookViewId="0">
      <selection activeCell="A4" sqref="A4"/>
    </sheetView>
  </sheetViews>
  <sheetFormatPr defaultRowHeight="15" x14ac:dyDescent="0.25"/>
  <sheetData>
    <row r="2" spans="1:21" ht="18.75" x14ac:dyDescent="0.3">
      <c r="A2" s="5" t="s">
        <v>23</v>
      </c>
      <c r="B2" s="5"/>
      <c r="C2" s="5"/>
      <c r="D2" s="5"/>
      <c r="E2" s="5"/>
      <c r="F2" s="5"/>
      <c r="G2" s="5"/>
      <c r="H2" s="5"/>
      <c r="I2" s="5"/>
      <c r="J2" s="5"/>
      <c r="K2" s="5"/>
      <c r="L2" s="5"/>
      <c r="M2" s="5"/>
      <c r="N2" s="5"/>
      <c r="O2" s="5"/>
      <c r="P2" s="5"/>
      <c r="Q2" s="5"/>
      <c r="R2" s="5"/>
      <c r="S2" s="15"/>
      <c r="T2" s="15"/>
      <c r="U2" s="15"/>
    </row>
    <row r="3" spans="1:21" ht="15.75" x14ac:dyDescent="0.25">
      <c r="A3" s="10"/>
      <c r="B3" s="10"/>
      <c r="C3" s="10"/>
      <c r="D3" s="10"/>
      <c r="E3" s="10"/>
      <c r="F3" s="10"/>
      <c r="G3" s="10"/>
      <c r="H3" s="10"/>
      <c r="I3" s="10"/>
      <c r="J3" s="10"/>
      <c r="K3" s="10"/>
      <c r="L3" s="10"/>
      <c r="M3" s="10"/>
      <c r="N3" s="10"/>
      <c r="O3" s="10"/>
      <c r="P3" s="10"/>
      <c r="Q3" s="10"/>
      <c r="R3" s="10"/>
    </row>
    <row r="4" spans="1:21" ht="15.75" x14ac:dyDescent="0.25">
      <c r="A4" s="10" t="s">
        <v>2</v>
      </c>
      <c r="B4" s="10"/>
      <c r="C4" s="10"/>
      <c r="D4" s="10"/>
      <c r="E4" s="10"/>
      <c r="F4" s="10"/>
      <c r="G4" s="10"/>
      <c r="H4" s="10"/>
      <c r="I4" s="10"/>
      <c r="J4" s="10"/>
      <c r="K4" s="10"/>
      <c r="L4" s="10"/>
      <c r="M4" s="10"/>
      <c r="N4" s="10"/>
      <c r="O4" s="10"/>
      <c r="P4" s="10"/>
      <c r="Q4" s="10"/>
      <c r="R4" s="10"/>
    </row>
    <row r="5" spans="1:21" ht="15.75" x14ac:dyDescent="0.25">
      <c r="A5" s="10" t="s">
        <v>25</v>
      </c>
      <c r="B5" s="10"/>
      <c r="C5" s="10"/>
      <c r="D5" s="10"/>
      <c r="E5" s="10"/>
      <c r="F5" s="10"/>
      <c r="G5" s="10"/>
      <c r="H5" s="10"/>
      <c r="I5" s="10"/>
      <c r="J5" s="10"/>
      <c r="K5" s="10"/>
      <c r="L5" s="10"/>
      <c r="M5" s="10"/>
      <c r="N5" s="10"/>
      <c r="O5" s="10"/>
      <c r="P5" s="10"/>
      <c r="Q5" s="10"/>
      <c r="R5" s="10"/>
      <c r="S5" s="7"/>
      <c r="T5" s="7"/>
    </row>
    <row r="6" spans="1:21" ht="15.75" x14ac:dyDescent="0.25">
      <c r="A6" s="10" t="s">
        <v>26</v>
      </c>
      <c r="B6" s="10"/>
      <c r="C6" s="10"/>
      <c r="D6" s="10"/>
      <c r="E6" s="10"/>
      <c r="F6" s="10"/>
      <c r="G6" s="10"/>
      <c r="H6" s="10"/>
      <c r="I6" s="10"/>
      <c r="J6" s="10"/>
      <c r="K6" s="10"/>
      <c r="L6" s="10"/>
      <c r="M6" s="10"/>
      <c r="N6" s="10"/>
      <c r="O6" s="10"/>
      <c r="P6" s="10"/>
      <c r="Q6" s="10"/>
      <c r="R6" s="10"/>
      <c r="S6" s="7"/>
      <c r="T6" s="7"/>
    </row>
    <row r="7" spans="1:21" ht="15.75" x14ac:dyDescent="0.25">
      <c r="A7" s="10"/>
      <c r="B7" s="10"/>
      <c r="C7" s="10"/>
      <c r="D7" s="10"/>
      <c r="E7" s="10"/>
      <c r="F7" s="10"/>
      <c r="G7" s="10"/>
      <c r="H7" s="10"/>
      <c r="I7" s="10"/>
      <c r="J7" s="10"/>
      <c r="K7" s="10"/>
      <c r="L7" s="10"/>
      <c r="M7" s="10"/>
      <c r="N7" s="10"/>
      <c r="O7" s="10"/>
      <c r="P7" s="10"/>
      <c r="Q7" s="10"/>
      <c r="R7" s="10"/>
      <c r="S7" s="7"/>
      <c r="T7" s="7"/>
    </row>
    <row r="8" spans="1:21" ht="15.75" x14ac:dyDescent="0.25">
      <c r="A8" s="10" t="s">
        <v>27</v>
      </c>
      <c r="B8" s="10"/>
      <c r="C8" s="10"/>
      <c r="D8" s="10"/>
      <c r="E8" s="10"/>
      <c r="F8" s="10"/>
      <c r="G8" s="10"/>
      <c r="H8" s="10"/>
      <c r="I8" s="10"/>
      <c r="J8" s="10"/>
      <c r="K8" s="10"/>
      <c r="L8" s="10"/>
      <c r="M8" s="10"/>
      <c r="N8" s="10"/>
      <c r="O8" s="10"/>
      <c r="P8" s="10"/>
      <c r="Q8" s="10"/>
      <c r="R8" s="10"/>
      <c r="S8" s="7"/>
      <c r="T8" s="7"/>
    </row>
    <row r="9" spans="1:21" ht="15.75" x14ac:dyDescent="0.25">
      <c r="A9" s="10" t="s">
        <v>28</v>
      </c>
      <c r="B9" s="10"/>
      <c r="C9" s="10"/>
      <c r="D9" s="10"/>
      <c r="E9" s="10"/>
      <c r="F9" s="10"/>
      <c r="G9" s="10"/>
      <c r="H9" s="10"/>
      <c r="I9" s="10"/>
      <c r="J9" s="10"/>
      <c r="K9" s="10"/>
      <c r="L9" s="10"/>
      <c r="M9" s="10"/>
      <c r="N9" s="10"/>
      <c r="O9" s="10"/>
      <c r="P9" s="10"/>
      <c r="Q9" s="10"/>
      <c r="R9" s="10"/>
      <c r="S9" s="7"/>
      <c r="T9" s="7"/>
    </row>
    <row r="10" spans="1:21" ht="15.75" x14ac:dyDescent="0.25">
      <c r="A10" s="10"/>
      <c r="B10" s="10"/>
      <c r="C10" s="10"/>
      <c r="D10" s="10"/>
      <c r="E10" s="10"/>
      <c r="F10" s="10"/>
      <c r="G10" s="10"/>
      <c r="H10" s="10"/>
      <c r="I10" s="10"/>
      <c r="J10" s="10"/>
      <c r="K10" s="10"/>
      <c r="L10" s="10"/>
      <c r="M10" s="10"/>
      <c r="N10" s="10"/>
      <c r="O10" s="10"/>
      <c r="P10" s="10"/>
      <c r="Q10" s="10"/>
      <c r="R10" s="10"/>
    </row>
    <row r="11" spans="1:21" ht="15.75" x14ac:dyDescent="0.25">
      <c r="A11" s="11" t="s">
        <v>24</v>
      </c>
      <c r="B11" s="10"/>
      <c r="C11" s="10"/>
      <c r="D11" s="10"/>
      <c r="E11" s="10"/>
      <c r="F11" s="10"/>
      <c r="G11" s="10"/>
      <c r="H11" s="10"/>
      <c r="I11" s="10"/>
      <c r="J11" s="10"/>
      <c r="K11" s="10"/>
      <c r="L11" s="10"/>
      <c r="M11" s="10"/>
      <c r="N11" s="10"/>
      <c r="O11" s="10"/>
      <c r="P11" s="10"/>
      <c r="Q11" s="10"/>
      <c r="R11" s="10"/>
    </row>
    <row r="12" spans="1:21" ht="15.75" x14ac:dyDescent="0.25">
      <c r="A12" s="12"/>
      <c r="B12" s="10"/>
      <c r="C12" s="10"/>
      <c r="D12" s="10"/>
      <c r="E12" s="10"/>
      <c r="F12" s="10"/>
      <c r="G12" s="10"/>
      <c r="H12" s="10"/>
      <c r="I12" s="10"/>
      <c r="J12" s="10"/>
      <c r="K12" s="10"/>
      <c r="L12" s="10"/>
      <c r="M12" s="10"/>
      <c r="N12" s="10"/>
      <c r="O12" s="10"/>
      <c r="P12" s="10"/>
      <c r="Q12" s="10"/>
      <c r="R12" s="10"/>
    </row>
    <row r="13" spans="1:21" ht="15.75" x14ac:dyDescent="0.25">
      <c r="A13" s="13" t="s">
        <v>29</v>
      </c>
      <c r="B13" s="10"/>
      <c r="C13" s="10"/>
      <c r="D13" s="10"/>
      <c r="E13" s="10"/>
      <c r="F13" s="10"/>
      <c r="G13" s="10"/>
      <c r="H13" s="10"/>
      <c r="I13" s="10"/>
      <c r="J13" s="10"/>
      <c r="K13" s="10"/>
      <c r="L13" s="10"/>
      <c r="M13" s="10"/>
      <c r="N13" s="10"/>
      <c r="O13" s="10"/>
      <c r="P13" s="10"/>
      <c r="Q13" s="10"/>
      <c r="R13" s="10"/>
    </row>
    <row r="14" spans="1:21" ht="15.75" x14ac:dyDescent="0.25">
      <c r="A14" s="13"/>
      <c r="B14" s="10"/>
      <c r="C14" s="10"/>
      <c r="D14" s="10"/>
      <c r="E14" s="10"/>
      <c r="F14" s="10"/>
      <c r="G14" s="10"/>
      <c r="H14" s="10"/>
      <c r="I14" s="10"/>
      <c r="J14" s="10"/>
      <c r="K14" s="10"/>
      <c r="L14" s="10"/>
      <c r="M14" s="10"/>
      <c r="N14" s="10"/>
      <c r="O14" s="10"/>
      <c r="P14" s="10"/>
      <c r="Q14" s="10"/>
      <c r="R14" s="10"/>
    </row>
    <row r="15" spans="1:21" ht="15.75" x14ac:dyDescent="0.25">
      <c r="A15" s="13" t="s">
        <v>30</v>
      </c>
      <c r="B15" s="10"/>
      <c r="C15" s="10"/>
      <c r="D15" s="10"/>
      <c r="E15" s="10"/>
      <c r="F15" s="10"/>
      <c r="G15" s="10"/>
      <c r="H15" s="10"/>
      <c r="I15" s="10"/>
      <c r="J15" s="10"/>
      <c r="K15" s="10"/>
      <c r="L15" s="10"/>
      <c r="M15" s="10"/>
      <c r="N15" s="10"/>
      <c r="O15" s="10"/>
      <c r="P15" s="10"/>
      <c r="Q15" s="10"/>
      <c r="R15" s="10"/>
    </row>
    <row r="16" spans="1:21" ht="15.75" x14ac:dyDescent="0.25">
      <c r="A16" s="13"/>
      <c r="B16" s="10"/>
      <c r="C16" s="10"/>
      <c r="D16" s="10"/>
      <c r="E16" s="10"/>
      <c r="F16" s="10"/>
      <c r="G16" s="10"/>
      <c r="H16" s="10"/>
      <c r="I16" s="10"/>
      <c r="J16" s="10"/>
      <c r="K16" s="10"/>
      <c r="L16" s="10"/>
      <c r="M16" s="10"/>
      <c r="N16" s="10"/>
      <c r="O16" s="10"/>
      <c r="P16" s="10"/>
      <c r="Q16" s="10"/>
      <c r="R16" s="10"/>
    </row>
    <row r="17" spans="1:18" ht="15.75" x14ac:dyDescent="0.25">
      <c r="A17" s="13" t="s">
        <v>31</v>
      </c>
      <c r="B17" s="10"/>
      <c r="C17" s="10"/>
      <c r="D17" s="10"/>
      <c r="E17" s="10"/>
      <c r="F17" s="10"/>
      <c r="G17" s="10"/>
      <c r="H17" s="10"/>
      <c r="I17" s="10"/>
      <c r="J17" s="10"/>
      <c r="K17" s="10"/>
      <c r="L17" s="10"/>
      <c r="M17" s="10"/>
      <c r="N17" s="10"/>
      <c r="O17" s="10"/>
      <c r="P17" s="10"/>
      <c r="Q17" s="10"/>
      <c r="R17"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E52A-43CD-410D-B05F-090CD7A5F130}">
  <dimension ref="A2:S17"/>
  <sheetViews>
    <sheetView workbookViewId="0">
      <selection activeCell="A5" sqref="A5"/>
    </sheetView>
  </sheetViews>
  <sheetFormatPr defaultRowHeight="15" x14ac:dyDescent="0.25"/>
  <sheetData>
    <row r="2" spans="1:19" ht="18.75" x14ac:dyDescent="0.3">
      <c r="A2" s="5" t="s">
        <v>41</v>
      </c>
      <c r="B2" s="5"/>
      <c r="C2" s="5"/>
      <c r="D2" s="5"/>
      <c r="E2" s="5"/>
      <c r="F2" s="5"/>
      <c r="G2" s="5"/>
      <c r="H2" s="5"/>
      <c r="I2" s="5"/>
      <c r="J2" s="5"/>
      <c r="K2" s="5"/>
      <c r="L2" s="14"/>
      <c r="M2" s="14"/>
      <c r="N2" s="10"/>
      <c r="O2" s="10"/>
      <c r="P2" s="10"/>
      <c r="Q2" s="10"/>
      <c r="R2" s="10"/>
      <c r="S2" s="10"/>
    </row>
    <row r="3" spans="1:19" ht="18.75" x14ac:dyDescent="0.3">
      <c r="A3" s="5" t="s">
        <v>42</v>
      </c>
      <c r="B3" s="5"/>
      <c r="C3" s="5"/>
      <c r="D3" s="5"/>
      <c r="E3" s="5"/>
      <c r="F3" s="5"/>
      <c r="G3" s="5"/>
      <c r="H3" s="5"/>
      <c r="I3" s="5"/>
      <c r="J3" s="5"/>
      <c r="K3" s="5"/>
      <c r="L3" s="14"/>
      <c r="M3" s="14"/>
      <c r="N3" s="10"/>
      <c r="O3" s="10"/>
      <c r="P3" s="10"/>
      <c r="Q3" s="10"/>
      <c r="R3" s="10"/>
      <c r="S3" s="10"/>
    </row>
    <row r="4" spans="1:19" ht="15.75" x14ac:dyDescent="0.25">
      <c r="A4" s="10"/>
      <c r="B4" s="10"/>
      <c r="C4" s="10"/>
      <c r="D4" s="10"/>
      <c r="E4" s="10"/>
      <c r="F4" s="10"/>
      <c r="G4" s="10"/>
      <c r="H4" s="10"/>
      <c r="I4" s="10"/>
      <c r="J4" s="10"/>
      <c r="K4" s="10"/>
      <c r="L4" s="10"/>
      <c r="M4" s="10"/>
      <c r="N4" s="10"/>
      <c r="O4" s="10"/>
      <c r="P4" s="10"/>
      <c r="Q4" s="10"/>
      <c r="R4" s="10"/>
      <c r="S4" s="10"/>
    </row>
    <row r="5" spans="1:19" ht="15.75" x14ac:dyDescent="0.25">
      <c r="A5" s="10" t="s">
        <v>2</v>
      </c>
      <c r="B5" s="10"/>
      <c r="C5" s="10"/>
      <c r="D5" s="10"/>
      <c r="E5" s="10"/>
      <c r="F5" s="10"/>
      <c r="G5" s="10"/>
      <c r="H5" s="10"/>
      <c r="I5" s="10"/>
      <c r="J5" s="10"/>
      <c r="K5" s="10"/>
      <c r="L5" s="10"/>
      <c r="M5" s="10"/>
      <c r="N5" s="10"/>
      <c r="O5" s="10"/>
      <c r="P5" s="10"/>
      <c r="Q5" s="10"/>
      <c r="R5" s="10"/>
      <c r="S5" s="10"/>
    </row>
    <row r="6" spans="1:19" ht="15.75" x14ac:dyDescent="0.25">
      <c r="A6" s="10" t="s">
        <v>45</v>
      </c>
      <c r="B6" s="10"/>
      <c r="C6" s="10"/>
      <c r="D6" s="10"/>
      <c r="E6" s="10"/>
      <c r="F6" s="10"/>
      <c r="G6" s="10"/>
      <c r="H6" s="10"/>
      <c r="I6" s="10"/>
      <c r="J6" s="10"/>
      <c r="K6" s="10"/>
      <c r="L6" s="10"/>
      <c r="M6" s="10"/>
      <c r="N6" s="10"/>
      <c r="O6" s="10"/>
      <c r="P6" s="10"/>
      <c r="Q6" s="10"/>
      <c r="R6" s="10"/>
      <c r="S6" s="10"/>
    </row>
    <row r="7" spans="1:19" ht="15.75" x14ac:dyDescent="0.25">
      <c r="A7" s="10" t="s">
        <v>43</v>
      </c>
      <c r="B7" s="10"/>
      <c r="C7" s="10"/>
      <c r="D7" s="10"/>
      <c r="E7" s="10"/>
      <c r="F7" s="10"/>
      <c r="G7" s="10"/>
      <c r="H7" s="10"/>
      <c r="I7" s="10"/>
      <c r="J7" s="10"/>
      <c r="K7" s="10"/>
      <c r="L7" s="10"/>
      <c r="M7" s="10"/>
      <c r="N7" s="10"/>
      <c r="O7" s="10"/>
      <c r="P7" s="10"/>
      <c r="Q7" s="10"/>
      <c r="R7" s="10"/>
      <c r="S7" s="10"/>
    </row>
    <row r="8" spans="1:19" ht="15.75" x14ac:dyDescent="0.25">
      <c r="A8" s="10"/>
      <c r="B8" s="10"/>
      <c r="C8" s="10"/>
      <c r="D8" s="10"/>
      <c r="E8" s="10"/>
      <c r="F8" s="10"/>
      <c r="G8" s="10"/>
      <c r="H8" s="10"/>
      <c r="I8" s="10"/>
      <c r="J8" s="10"/>
      <c r="K8" s="10"/>
      <c r="L8" s="10"/>
      <c r="M8" s="10"/>
      <c r="N8" s="10"/>
      <c r="O8" s="10"/>
      <c r="P8" s="10"/>
      <c r="Q8" s="10"/>
      <c r="R8" s="10"/>
      <c r="S8" s="10"/>
    </row>
    <row r="9" spans="1:19" ht="15.75" x14ac:dyDescent="0.25">
      <c r="A9" s="10" t="s">
        <v>46</v>
      </c>
      <c r="B9" s="10"/>
      <c r="C9" s="10"/>
      <c r="D9" s="10"/>
      <c r="E9" s="10"/>
      <c r="F9" s="10"/>
      <c r="G9" s="10"/>
      <c r="H9" s="10"/>
      <c r="I9" s="10"/>
      <c r="J9" s="10"/>
      <c r="K9" s="10"/>
      <c r="L9" s="10"/>
      <c r="M9" s="10"/>
      <c r="N9" s="10"/>
      <c r="O9" s="10"/>
      <c r="P9" s="10"/>
      <c r="Q9" s="10"/>
      <c r="R9" s="10"/>
      <c r="S9" s="10"/>
    </row>
    <row r="10" spans="1:19" ht="15.75" x14ac:dyDescent="0.25">
      <c r="A10" s="13" t="s">
        <v>47</v>
      </c>
      <c r="B10" s="10"/>
      <c r="C10" s="10"/>
      <c r="D10" s="10"/>
      <c r="E10" s="10"/>
      <c r="F10" s="10"/>
      <c r="G10" s="10"/>
      <c r="H10" s="10"/>
      <c r="I10" s="10"/>
      <c r="J10" s="10"/>
      <c r="K10" s="10"/>
      <c r="L10" s="10"/>
      <c r="M10" s="10"/>
      <c r="N10" s="10"/>
      <c r="O10" s="10"/>
      <c r="P10" s="10"/>
      <c r="Q10" s="10"/>
      <c r="R10" s="10"/>
      <c r="S10" s="10"/>
    </row>
    <row r="11" spans="1:19" ht="15.75" x14ac:dyDescent="0.25">
      <c r="A11" s="13"/>
      <c r="B11" s="10"/>
      <c r="C11" s="10"/>
      <c r="D11" s="10"/>
      <c r="E11" s="10"/>
      <c r="F11" s="10"/>
      <c r="G11" s="10"/>
      <c r="H11" s="10"/>
      <c r="I11" s="10"/>
      <c r="J11" s="10"/>
      <c r="K11" s="10"/>
      <c r="L11" s="10"/>
      <c r="M11" s="10"/>
      <c r="N11" s="10"/>
      <c r="O11" s="10"/>
      <c r="P11" s="10"/>
      <c r="Q11" s="10"/>
      <c r="R11" s="10"/>
      <c r="S11" s="10"/>
    </row>
    <row r="12" spans="1:19" ht="15.75" x14ac:dyDescent="0.25">
      <c r="A12" s="13" t="s">
        <v>48</v>
      </c>
      <c r="B12" s="10"/>
      <c r="C12" s="10"/>
      <c r="D12" s="10"/>
      <c r="E12" s="10"/>
      <c r="F12" s="10"/>
      <c r="G12" s="10"/>
      <c r="H12" s="10"/>
      <c r="I12" s="10"/>
      <c r="J12" s="10"/>
      <c r="K12" s="10"/>
      <c r="L12" s="10"/>
      <c r="M12" s="10"/>
      <c r="N12" s="10"/>
      <c r="O12" s="10"/>
      <c r="P12" s="10"/>
      <c r="Q12" s="10"/>
      <c r="R12" s="10"/>
      <c r="S12" s="10"/>
    </row>
    <row r="13" spans="1:19" ht="15.75" x14ac:dyDescent="0.25">
      <c r="A13" s="13"/>
      <c r="B13" s="10"/>
      <c r="C13" s="10"/>
      <c r="D13" s="10"/>
      <c r="E13" s="10"/>
      <c r="F13" s="10"/>
      <c r="G13" s="10"/>
      <c r="H13" s="10"/>
      <c r="I13" s="10"/>
      <c r="J13" s="10"/>
      <c r="K13" s="10"/>
      <c r="L13" s="10"/>
      <c r="M13" s="10"/>
      <c r="N13" s="10"/>
      <c r="O13" s="10"/>
      <c r="P13" s="10"/>
      <c r="Q13" s="10"/>
      <c r="R13" s="10"/>
      <c r="S13" s="10"/>
    </row>
    <row r="14" spans="1:19" ht="15.75" x14ac:dyDescent="0.25">
      <c r="A14" s="13" t="s">
        <v>49</v>
      </c>
      <c r="B14" s="10"/>
      <c r="C14" s="10"/>
      <c r="D14" s="10"/>
      <c r="E14" s="10"/>
      <c r="F14" s="10"/>
      <c r="G14" s="10"/>
      <c r="H14" s="10"/>
      <c r="I14" s="10"/>
      <c r="J14" s="10"/>
      <c r="K14" s="10"/>
      <c r="L14" s="10"/>
      <c r="M14" s="10"/>
      <c r="N14" s="10"/>
      <c r="O14" s="10"/>
      <c r="P14" s="10"/>
      <c r="Q14" s="10"/>
      <c r="R14" s="10"/>
      <c r="S14" s="10"/>
    </row>
    <row r="15" spans="1:19" ht="15.75" x14ac:dyDescent="0.25">
      <c r="A15" s="10"/>
      <c r="B15" s="10"/>
      <c r="C15" s="10"/>
      <c r="D15" s="10"/>
      <c r="E15" s="10"/>
      <c r="F15" s="10"/>
      <c r="G15" s="10"/>
      <c r="H15" s="10"/>
      <c r="I15" s="10"/>
      <c r="J15" s="10"/>
      <c r="K15" s="10"/>
      <c r="L15" s="10"/>
      <c r="M15" s="10"/>
      <c r="N15" s="10"/>
      <c r="O15" s="10"/>
      <c r="P15" s="10"/>
      <c r="Q15" s="10"/>
      <c r="R15" s="10"/>
      <c r="S15" s="10"/>
    </row>
    <row r="16" spans="1:19" ht="15.75" x14ac:dyDescent="0.25">
      <c r="A16" s="10" t="s">
        <v>44</v>
      </c>
      <c r="B16" s="10"/>
      <c r="C16" s="10"/>
      <c r="D16" s="10"/>
      <c r="E16" s="10"/>
      <c r="F16" s="10"/>
      <c r="G16" s="10"/>
      <c r="H16" s="10"/>
      <c r="I16" s="10"/>
      <c r="J16" s="10"/>
      <c r="K16" s="10"/>
      <c r="L16" s="10"/>
      <c r="M16" s="10"/>
      <c r="N16" s="10"/>
      <c r="O16" s="10"/>
      <c r="P16" s="10"/>
      <c r="Q16" s="10"/>
      <c r="R16" s="10"/>
      <c r="S16" s="10"/>
    </row>
    <row r="17" spans="1:19" ht="15.75" x14ac:dyDescent="0.25">
      <c r="A17" s="10"/>
      <c r="B17" s="10"/>
      <c r="C17" s="10"/>
      <c r="D17" s="10"/>
      <c r="E17" s="10"/>
      <c r="F17" s="10"/>
      <c r="G17" s="10"/>
      <c r="H17" s="10"/>
      <c r="I17" s="10"/>
      <c r="J17" s="10"/>
      <c r="K17" s="10"/>
      <c r="L17" s="10"/>
      <c r="M17" s="10"/>
      <c r="N17" s="10"/>
      <c r="O17" s="10"/>
      <c r="P17" s="10"/>
      <c r="Q17" s="10"/>
      <c r="R17" s="10"/>
      <c r="S17"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42F0-90B3-4F77-B01A-669AA8212BAE}">
  <dimension ref="A2:G17"/>
  <sheetViews>
    <sheetView workbookViewId="0">
      <selection activeCell="A10" sqref="A10"/>
    </sheetView>
  </sheetViews>
  <sheetFormatPr defaultRowHeight="15" x14ac:dyDescent="0.25"/>
  <cols>
    <col min="2" max="2" width="10.28515625" customWidth="1"/>
    <col min="3" max="3" width="12.42578125" customWidth="1"/>
    <col min="4" max="4" width="14" customWidth="1"/>
    <col min="5" max="5" width="14.42578125" customWidth="1"/>
    <col min="6" max="6" width="24.85546875" customWidth="1"/>
  </cols>
  <sheetData>
    <row r="2" spans="1:7" ht="18.75" x14ac:dyDescent="0.3">
      <c r="A2" s="5" t="s">
        <v>50</v>
      </c>
      <c r="B2" s="5"/>
      <c r="C2" s="5"/>
      <c r="D2" s="5"/>
      <c r="E2" s="5"/>
      <c r="F2" s="5"/>
    </row>
    <row r="3" spans="1:7" ht="18.75" x14ac:dyDescent="0.3">
      <c r="A3" s="4"/>
      <c r="B3" s="4"/>
      <c r="C3" s="4"/>
      <c r="D3" s="4"/>
      <c r="E3" s="4"/>
      <c r="F3" s="4"/>
    </row>
    <row r="4" spans="1:7" ht="18.75" x14ac:dyDescent="0.3">
      <c r="A4" s="4"/>
      <c r="B4" s="32" t="s">
        <v>51</v>
      </c>
      <c r="C4" s="32" t="s">
        <v>52</v>
      </c>
      <c r="D4" s="28"/>
      <c r="E4" s="28"/>
      <c r="F4" s="28"/>
      <c r="G4" s="26"/>
    </row>
    <row r="5" spans="1:7" ht="18.75" x14ac:dyDescent="0.3">
      <c r="A5" s="4"/>
      <c r="B5" s="29">
        <v>2</v>
      </c>
      <c r="C5" s="29">
        <v>3</v>
      </c>
      <c r="D5" s="30"/>
      <c r="E5" s="31"/>
      <c r="F5" s="31"/>
      <c r="G5" s="26"/>
    </row>
    <row r="6" spans="1:7" ht="18.75" x14ac:dyDescent="0.3">
      <c r="A6" s="4"/>
      <c r="B6" s="29">
        <v>4</v>
      </c>
      <c r="C6" s="29">
        <v>7</v>
      </c>
      <c r="D6" s="30"/>
      <c r="E6" s="31"/>
      <c r="F6" s="31"/>
      <c r="G6" s="26"/>
    </row>
    <row r="7" spans="1:7" ht="18.75" x14ac:dyDescent="0.3">
      <c r="A7" s="4"/>
      <c r="B7" s="29">
        <v>6</v>
      </c>
      <c r="C7" s="29">
        <v>5</v>
      </c>
      <c r="D7" s="30"/>
      <c r="E7" s="31"/>
      <c r="F7" s="31"/>
      <c r="G7" s="26"/>
    </row>
    <row r="8" spans="1:7" ht="18.75" x14ac:dyDescent="0.3">
      <c r="A8" s="4"/>
      <c r="B8" s="29">
        <v>8</v>
      </c>
      <c r="C8" s="29">
        <v>10</v>
      </c>
      <c r="D8" s="30"/>
      <c r="E8" s="31"/>
      <c r="F8" s="31"/>
      <c r="G8" s="26"/>
    </row>
    <row r="9" spans="1:7" x14ac:dyDescent="0.25">
      <c r="A9" s="1"/>
      <c r="B9" s="24"/>
      <c r="C9" s="24"/>
      <c r="D9" s="24"/>
      <c r="E9" s="24"/>
      <c r="F9" s="24"/>
      <c r="G9" s="26"/>
    </row>
    <row r="10" spans="1:7" x14ac:dyDescent="0.25">
      <c r="A10" s="1" t="s">
        <v>2</v>
      </c>
      <c r="B10" s="1"/>
      <c r="C10" s="1"/>
      <c r="D10" s="1"/>
      <c r="E10" s="1"/>
      <c r="F10" s="1"/>
    </row>
    <row r="11" spans="1:7" x14ac:dyDescent="0.25">
      <c r="A11" s="9" t="s">
        <v>53</v>
      </c>
      <c r="B11" s="1"/>
      <c r="C11" s="1"/>
      <c r="D11" s="1"/>
      <c r="E11" s="1"/>
      <c r="F11" s="1"/>
    </row>
    <row r="12" spans="1:7" x14ac:dyDescent="0.25">
      <c r="A12" s="27">
        <f>_xlfn.COVARIANCE.S(B5:B8, C5:C8)</f>
        <v>6.333333333333333</v>
      </c>
      <c r="B12" s="1"/>
      <c r="C12" s="1"/>
      <c r="D12" s="1"/>
      <c r="E12" s="1"/>
      <c r="F12" s="1"/>
    </row>
    <row r="13" spans="1:7" x14ac:dyDescent="0.25">
      <c r="A13" s="1"/>
      <c r="B13" s="1"/>
      <c r="C13" s="1"/>
      <c r="D13" s="1"/>
      <c r="E13" s="1"/>
      <c r="F13" s="1"/>
    </row>
    <row r="14" spans="1:7" x14ac:dyDescent="0.25">
      <c r="A14" s="9" t="s">
        <v>54</v>
      </c>
      <c r="B14" s="9"/>
      <c r="C14" s="9"/>
      <c r="D14" s="1"/>
      <c r="E14" s="1"/>
      <c r="F14" s="1"/>
    </row>
    <row r="15" spans="1:7" x14ac:dyDescent="0.25">
      <c r="A15" s="27">
        <f>_xlfn.COVARIANCE.P(B5:B8, C5:C8)</f>
        <v>4.75</v>
      </c>
      <c r="B15" s="1"/>
      <c r="C15" s="1"/>
      <c r="D15" s="1"/>
      <c r="E15" s="1"/>
      <c r="F15" s="1"/>
    </row>
    <row r="17" spans="1:6" ht="18.75" x14ac:dyDescent="0.3">
      <c r="A17" s="33" t="s">
        <v>55</v>
      </c>
      <c r="B17" s="33"/>
      <c r="C17" s="33"/>
      <c r="D17" s="33"/>
      <c r="E17" s="33"/>
      <c r="F17"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9F0CC-2018-4568-97FC-0DC09C92D6E1}">
  <dimension ref="A2:J20"/>
  <sheetViews>
    <sheetView workbookViewId="0">
      <selection activeCell="A11" sqref="A11"/>
    </sheetView>
  </sheetViews>
  <sheetFormatPr defaultRowHeight="15" x14ac:dyDescent="0.25"/>
  <sheetData>
    <row r="2" spans="1:10" ht="18.75" x14ac:dyDescent="0.3">
      <c r="A2" s="5" t="s">
        <v>56</v>
      </c>
      <c r="B2" s="5"/>
      <c r="C2" s="5"/>
      <c r="D2" s="5"/>
      <c r="E2" s="5"/>
      <c r="F2" s="5"/>
      <c r="G2" s="5"/>
      <c r="H2" s="5"/>
      <c r="I2" s="35"/>
      <c r="J2" s="35"/>
    </row>
    <row r="3" spans="1:10" ht="18.75" x14ac:dyDescent="0.3">
      <c r="A3" s="4"/>
      <c r="B3" s="4"/>
      <c r="C3" s="4"/>
      <c r="D3" s="4"/>
      <c r="E3" s="4"/>
      <c r="F3" s="4"/>
      <c r="G3" s="4"/>
      <c r="H3" s="4"/>
      <c r="I3" s="1"/>
      <c r="J3" s="1"/>
    </row>
    <row r="4" spans="1:10" ht="18.75" x14ac:dyDescent="0.3">
      <c r="A4" s="4"/>
      <c r="B4" s="4"/>
      <c r="C4" s="36" t="s">
        <v>57</v>
      </c>
      <c r="D4" s="36" t="s">
        <v>58</v>
      </c>
      <c r="E4" s="4"/>
      <c r="F4" s="4"/>
      <c r="G4" s="4"/>
      <c r="H4" s="4"/>
      <c r="I4" s="1"/>
      <c r="J4" s="1"/>
    </row>
    <row r="5" spans="1:10" ht="18.75" x14ac:dyDescent="0.3">
      <c r="A5" s="4"/>
      <c r="B5" s="4"/>
      <c r="C5" s="34">
        <v>10</v>
      </c>
      <c r="D5" s="34">
        <v>8</v>
      </c>
      <c r="E5" s="4"/>
      <c r="F5" s="4"/>
      <c r="G5" s="4"/>
      <c r="H5" s="4"/>
      <c r="I5" s="1"/>
      <c r="J5" s="1"/>
    </row>
    <row r="6" spans="1:10" ht="18.75" x14ac:dyDescent="0.3">
      <c r="A6" s="4"/>
      <c r="B6" s="4"/>
      <c r="C6" s="34">
        <v>20</v>
      </c>
      <c r="D6" s="34">
        <v>14</v>
      </c>
      <c r="E6" s="4"/>
      <c r="F6" s="4"/>
      <c r="G6" s="4"/>
      <c r="H6" s="4"/>
      <c r="I6" s="1"/>
      <c r="J6" s="1"/>
    </row>
    <row r="7" spans="1:10" ht="18.75" x14ac:dyDescent="0.3">
      <c r="A7" s="4"/>
      <c r="B7" s="4"/>
      <c r="C7" s="34">
        <v>30</v>
      </c>
      <c r="D7" s="34">
        <v>18</v>
      </c>
      <c r="E7" s="4"/>
      <c r="F7" s="4"/>
      <c r="G7" s="4"/>
      <c r="H7" s="4"/>
      <c r="I7" s="1"/>
      <c r="J7" s="1"/>
    </row>
    <row r="8" spans="1:10" ht="18.75" x14ac:dyDescent="0.3">
      <c r="A8" s="4"/>
      <c r="B8" s="4"/>
      <c r="C8" s="34">
        <v>40</v>
      </c>
      <c r="D8" s="34">
        <v>24</v>
      </c>
      <c r="E8" s="4"/>
      <c r="F8" s="4"/>
      <c r="G8" s="4"/>
      <c r="H8" s="4"/>
      <c r="I8" s="1"/>
      <c r="J8" s="1"/>
    </row>
    <row r="9" spans="1:10" ht="18.75" x14ac:dyDescent="0.3">
      <c r="A9" s="4"/>
      <c r="B9" s="4"/>
      <c r="C9" s="34">
        <v>50</v>
      </c>
      <c r="D9" s="34">
        <v>28</v>
      </c>
      <c r="E9" s="4"/>
      <c r="F9" s="4"/>
      <c r="G9" s="4"/>
      <c r="H9" s="4"/>
      <c r="I9" s="1"/>
      <c r="J9" s="1"/>
    </row>
    <row r="10" spans="1:10" x14ac:dyDescent="0.25">
      <c r="A10" s="1"/>
      <c r="B10" s="1"/>
      <c r="C10" s="1"/>
      <c r="D10" s="1"/>
      <c r="E10" s="1"/>
      <c r="F10" s="1"/>
      <c r="G10" s="1"/>
      <c r="H10" s="1"/>
      <c r="I10" s="1"/>
      <c r="J10" s="1"/>
    </row>
    <row r="11" spans="1:10" ht="15.75" x14ac:dyDescent="0.25">
      <c r="A11" s="10" t="s">
        <v>2</v>
      </c>
      <c r="B11" s="10"/>
      <c r="C11" s="10"/>
      <c r="D11" s="10"/>
      <c r="E11" s="10"/>
      <c r="F11" s="10"/>
      <c r="G11" s="10"/>
      <c r="H11" s="10"/>
      <c r="I11" s="10"/>
      <c r="J11" s="1"/>
    </row>
    <row r="12" spans="1:10" ht="15.75" x14ac:dyDescent="0.25">
      <c r="A12" s="11" t="s">
        <v>59</v>
      </c>
      <c r="B12" s="11"/>
      <c r="C12" s="11"/>
      <c r="D12" s="10"/>
      <c r="E12" s="10"/>
      <c r="F12" s="10"/>
      <c r="G12" s="10"/>
      <c r="H12" s="10"/>
      <c r="I12" s="10"/>
      <c r="J12" s="1"/>
    </row>
    <row r="13" spans="1:10" ht="15.75" x14ac:dyDescent="0.25">
      <c r="A13" s="38">
        <f>CORREL(C5:C9, D5:D9)</f>
        <v>0.99760860558452769</v>
      </c>
      <c r="B13" s="10"/>
      <c r="C13" s="10"/>
      <c r="D13" s="10"/>
      <c r="E13" s="10"/>
      <c r="F13" s="10"/>
      <c r="G13" s="10"/>
      <c r="H13" s="10"/>
      <c r="I13" s="10"/>
      <c r="J13" s="1"/>
    </row>
    <row r="14" spans="1:10" ht="15.75" x14ac:dyDescent="0.25">
      <c r="A14" s="39" t="s">
        <v>60</v>
      </c>
      <c r="B14" s="10"/>
      <c r="C14" s="10"/>
      <c r="D14" s="10"/>
      <c r="E14" s="10"/>
      <c r="F14" s="10"/>
      <c r="G14" s="10"/>
      <c r="H14" s="10"/>
      <c r="I14" s="10"/>
      <c r="J14" s="1"/>
    </row>
    <row r="15" spans="1:10" ht="15.75" x14ac:dyDescent="0.25">
      <c r="A15" s="38">
        <f>PEARSON(C5:C9, D5:D9)</f>
        <v>0.99760860558452769</v>
      </c>
      <c r="B15" s="10"/>
      <c r="C15" s="10"/>
      <c r="D15" s="10"/>
      <c r="E15" s="10"/>
      <c r="F15" s="10"/>
      <c r="G15" s="10"/>
      <c r="H15" s="10"/>
      <c r="I15" s="10"/>
      <c r="J15" s="1"/>
    </row>
    <row r="16" spans="1:10" ht="15.75" x14ac:dyDescent="0.25">
      <c r="A16" s="10"/>
      <c r="B16" s="10"/>
      <c r="C16" s="10"/>
      <c r="D16" s="10"/>
      <c r="E16" s="10"/>
      <c r="F16" s="10"/>
      <c r="G16" s="10"/>
      <c r="H16" s="10"/>
      <c r="I16" s="10"/>
      <c r="J16" s="1"/>
    </row>
    <row r="17" spans="1:10" ht="18.75" x14ac:dyDescent="0.3">
      <c r="A17" s="37" t="s">
        <v>61</v>
      </c>
      <c r="B17" s="37"/>
      <c r="C17" s="37"/>
      <c r="D17" s="37"/>
      <c r="E17" s="37"/>
      <c r="F17" s="41"/>
      <c r="G17" s="10"/>
      <c r="H17" s="10"/>
      <c r="I17" s="10"/>
      <c r="J17" s="1"/>
    </row>
    <row r="18" spans="1:10" ht="15.75" x14ac:dyDescent="0.25">
      <c r="A18" s="11"/>
      <c r="B18" s="11"/>
      <c r="C18" s="10"/>
      <c r="D18" s="10"/>
      <c r="E18" s="10"/>
      <c r="F18" s="10"/>
      <c r="G18" s="10"/>
      <c r="H18" s="10"/>
      <c r="I18" s="10"/>
      <c r="J18" s="1"/>
    </row>
    <row r="19" spans="1:10" ht="15.75" x14ac:dyDescent="0.25">
      <c r="A19" s="11" t="s">
        <v>63</v>
      </c>
      <c r="B19" s="10"/>
      <c r="C19" s="10"/>
      <c r="D19" s="10"/>
      <c r="E19" s="10"/>
      <c r="F19" s="10"/>
      <c r="G19" s="10"/>
      <c r="H19" s="10"/>
      <c r="I19" s="10"/>
    </row>
    <row r="20" spans="1:10" ht="15.75" x14ac:dyDescent="0.25">
      <c r="A20" s="16"/>
      <c r="B20" s="16"/>
      <c r="C20" s="16"/>
      <c r="D20" s="16"/>
      <c r="E20" s="16"/>
      <c r="F20" s="16"/>
      <c r="G20" s="16"/>
      <c r="H20" s="16"/>
      <c r="I20"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614D-625B-4D26-B8A6-94785D5FD647}">
  <dimension ref="A2:R19"/>
  <sheetViews>
    <sheetView workbookViewId="0">
      <selection activeCell="A11" sqref="A11"/>
    </sheetView>
  </sheetViews>
  <sheetFormatPr defaultRowHeight="15" x14ac:dyDescent="0.25"/>
  <sheetData>
    <row r="2" spans="1:18" ht="18.75" x14ac:dyDescent="0.3">
      <c r="A2" s="5" t="s">
        <v>62</v>
      </c>
      <c r="B2" s="5"/>
      <c r="C2" s="5"/>
      <c r="D2" s="5"/>
      <c r="E2" s="5"/>
      <c r="F2" s="5"/>
      <c r="G2" s="5"/>
      <c r="H2" s="5"/>
      <c r="I2" s="5"/>
      <c r="J2" s="5"/>
      <c r="K2" s="5"/>
      <c r="L2" s="5"/>
      <c r="M2" s="5"/>
      <c r="N2" s="5"/>
      <c r="O2" s="8"/>
      <c r="P2" s="8"/>
      <c r="Q2" s="8"/>
      <c r="R2" s="8"/>
    </row>
    <row r="3" spans="1:18" ht="18.75" x14ac:dyDescent="0.3">
      <c r="A3" s="4"/>
      <c r="B3" s="4"/>
      <c r="C3" s="4"/>
      <c r="D3" s="4"/>
      <c r="E3" s="4"/>
      <c r="F3" s="4"/>
      <c r="G3" s="4"/>
      <c r="H3" s="4"/>
      <c r="I3" s="4"/>
      <c r="J3" s="4"/>
      <c r="K3" s="4"/>
      <c r="L3" s="4"/>
      <c r="M3" s="4"/>
      <c r="N3" s="4"/>
      <c r="O3" s="4"/>
      <c r="P3" s="4"/>
      <c r="Q3" s="4"/>
      <c r="R3" s="4"/>
    </row>
    <row r="4" spans="1:18" ht="18.75" x14ac:dyDescent="0.3">
      <c r="A4" s="4"/>
      <c r="B4" s="43" t="s">
        <v>64</v>
      </c>
      <c r="C4" s="43" t="s">
        <v>65</v>
      </c>
      <c r="D4" s="4"/>
      <c r="E4" s="4"/>
      <c r="F4" s="4"/>
      <c r="G4" s="4"/>
      <c r="H4" s="4"/>
      <c r="I4" s="4"/>
      <c r="J4" s="4"/>
      <c r="K4" s="4"/>
      <c r="L4" s="4"/>
      <c r="M4" s="4"/>
      <c r="N4" s="4"/>
      <c r="O4" s="4"/>
      <c r="P4" s="4"/>
      <c r="Q4" s="4"/>
      <c r="R4" s="4"/>
    </row>
    <row r="5" spans="1:18" ht="18.75" x14ac:dyDescent="0.3">
      <c r="A5" s="4"/>
      <c r="B5" s="42">
        <v>150</v>
      </c>
      <c r="C5" s="42">
        <v>50</v>
      </c>
      <c r="D5" s="4"/>
      <c r="E5" s="4"/>
      <c r="F5" s="4"/>
      <c r="G5" s="4"/>
      <c r="H5" s="4"/>
      <c r="I5" s="4"/>
      <c r="J5" s="4"/>
      <c r="K5" s="4"/>
      <c r="L5" s="4"/>
      <c r="M5" s="4"/>
      <c r="N5" s="4"/>
      <c r="O5" s="4"/>
      <c r="P5" s="4"/>
      <c r="Q5" s="4"/>
      <c r="R5" s="4"/>
    </row>
    <row r="6" spans="1:18" ht="18.75" x14ac:dyDescent="0.3">
      <c r="A6" s="4"/>
      <c r="B6" s="42">
        <v>160</v>
      </c>
      <c r="C6" s="42">
        <v>55</v>
      </c>
      <c r="D6" s="4"/>
      <c r="E6" s="4"/>
      <c r="F6" s="4"/>
      <c r="G6" s="4"/>
      <c r="H6" s="4"/>
      <c r="I6" s="4"/>
      <c r="J6" s="4"/>
      <c r="K6" s="4"/>
      <c r="L6" s="4"/>
      <c r="M6" s="4"/>
      <c r="N6" s="4"/>
      <c r="O6" s="4"/>
      <c r="P6" s="4"/>
      <c r="Q6" s="4"/>
      <c r="R6" s="4"/>
    </row>
    <row r="7" spans="1:18" ht="18.75" x14ac:dyDescent="0.3">
      <c r="A7" s="4"/>
      <c r="B7" s="42">
        <v>165</v>
      </c>
      <c r="C7" s="42">
        <v>58</v>
      </c>
      <c r="D7" s="4"/>
      <c r="E7" s="4"/>
      <c r="F7" s="4"/>
      <c r="G7" s="4"/>
      <c r="H7" s="4"/>
      <c r="I7" s="4"/>
      <c r="J7" s="4"/>
      <c r="K7" s="4"/>
      <c r="L7" s="4"/>
      <c r="M7" s="4"/>
      <c r="N7" s="4"/>
      <c r="O7" s="4"/>
      <c r="P7" s="4"/>
      <c r="Q7" s="4"/>
      <c r="R7" s="4"/>
    </row>
    <row r="8" spans="1:18" ht="18.75" x14ac:dyDescent="0.3">
      <c r="A8" s="4"/>
      <c r="B8" s="42">
        <v>170</v>
      </c>
      <c r="C8" s="42">
        <v>62</v>
      </c>
      <c r="D8" s="4"/>
      <c r="E8" s="4"/>
      <c r="F8" s="4"/>
      <c r="G8" s="4"/>
      <c r="H8" s="4"/>
      <c r="I8" s="4"/>
      <c r="J8" s="4"/>
      <c r="K8" s="4"/>
      <c r="L8" s="4"/>
      <c r="M8" s="4"/>
      <c r="N8" s="4"/>
      <c r="O8" s="4"/>
      <c r="P8" s="4"/>
      <c r="Q8" s="4"/>
      <c r="R8" s="4"/>
    </row>
    <row r="9" spans="1:18" ht="18.75" x14ac:dyDescent="0.3">
      <c r="A9" s="4"/>
      <c r="B9" s="42">
        <v>180</v>
      </c>
      <c r="C9" s="42">
        <v>70</v>
      </c>
      <c r="D9" s="4"/>
      <c r="E9" s="4"/>
      <c r="F9" s="4"/>
      <c r="G9" s="4"/>
      <c r="H9" s="4"/>
      <c r="I9" s="4"/>
      <c r="J9" s="4"/>
      <c r="K9" s="4"/>
      <c r="L9" s="4"/>
      <c r="M9" s="4"/>
      <c r="N9" s="4"/>
      <c r="O9" s="4"/>
      <c r="P9" s="4"/>
      <c r="Q9" s="4"/>
      <c r="R9" s="4"/>
    </row>
    <row r="10" spans="1:18" x14ac:dyDescent="0.25">
      <c r="A10" s="1"/>
      <c r="B10" s="1"/>
      <c r="C10" s="1"/>
      <c r="D10" s="1"/>
      <c r="E10" s="1"/>
      <c r="F10" s="1"/>
      <c r="G10" s="1"/>
      <c r="H10" s="1"/>
      <c r="I10" s="1"/>
      <c r="J10" s="1"/>
      <c r="K10" s="1"/>
      <c r="L10" s="1"/>
      <c r="M10" s="1"/>
      <c r="N10" s="1"/>
      <c r="O10" s="1"/>
      <c r="P10" s="1"/>
      <c r="Q10" s="1"/>
      <c r="R10" s="1"/>
    </row>
    <row r="11" spans="1:18" ht="15.75" x14ac:dyDescent="0.25">
      <c r="A11" s="10" t="s">
        <v>2</v>
      </c>
      <c r="B11" s="10"/>
      <c r="C11" s="10"/>
      <c r="D11" s="10"/>
      <c r="E11" s="10"/>
      <c r="F11" s="10"/>
      <c r="G11" s="10"/>
      <c r="H11" s="10"/>
      <c r="I11" s="10"/>
      <c r="J11" s="10"/>
      <c r="K11" s="10"/>
      <c r="L11" s="10"/>
      <c r="M11" s="10"/>
      <c r="N11" s="10"/>
      <c r="O11" s="10"/>
      <c r="P11" s="10"/>
      <c r="Q11" s="10"/>
      <c r="R11" s="10"/>
    </row>
    <row r="12" spans="1:18" ht="15.75" x14ac:dyDescent="0.25">
      <c r="A12" s="10"/>
      <c r="B12" s="10"/>
      <c r="C12" s="10"/>
      <c r="D12" s="10"/>
      <c r="E12" s="10"/>
      <c r="F12" s="10"/>
      <c r="G12" s="10"/>
      <c r="H12" s="10"/>
      <c r="I12" s="10"/>
      <c r="J12" s="10"/>
      <c r="K12" s="10"/>
      <c r="L12" s="10"/>
      <c r="M12" s="10"/>
      <c r="N12" s="10"/>
      <c r="O12" s="10"/>
      <c r="P12" s="10"/>
      <c r="Q12" s="10"/>
      <c r="R12" s="10"/>
    </row>
    <row r="13" spans="1:18" ht="15.75" x14ac:dyDescent="0.25">
      <c r="A13" s="40">
        <f>CORREL(B5:B9, C5:C9)</f>
        <v>0.99218437024647965</v>
      </c>
      <c r="B13" s="10"/>
      <c r="C13" s="10"/>
      <c r="D13" s="10"/>
      <c r="E13" s="10"/>
      <c r="F13" s="10"/>
      <c r="G13" s="10"/>
      <c r="H13" s="10"/>
      <c r="I13" s="10"/>
      <c r="J13" s="10"/>
      <c r="K13" s="10"/>
      <c r="L13" s="10"/>
      <c r="M13" s="10"/>
      <c r="N13" s="10"/>
      <c r="O13" s="10"/>
      <c r="P13" s="10"/>
      <c r="Q13" s="10"/>
      <c r="R13" s="10"/>
    </row>
    <row r="14" spans="1:18" ht="15.75" x14ac:dyDescent="0.25">
      <c r="A14" s="10"/>
      <c r="B14" s="10"/>
      <c r="C14" s="10"/>
      <c r="D14" s="10"/>
      <c r="E14" s="10"/>
      <c r="F14" s="10"/>
      <c r="G14" s="10"/>
      <c r="H14" s="10"/>
      <c r="I14" s="10"/>
      <c r="J14" s="10"/>
      <c r="K14" s="10"/>
      <c r="L14" s="10"/>
      <c r="M14" s="10"/>
      <c r="N14" s="10"/>
      <c r="O14" s="10"/>
      <c r="P14" s="10"/>
      <c r="Q14" s="10"/>
      <c r="R14" s="10"/>
    </row>
    <row r="15" spans="1:18" ht="15.75" x14ac:dyDescent="0.25">
      <c r="A15" s="11" t="s">
        <v>67</v>
      </c>
      <c r="B15" s="11"/>
      <c r="C15" s="11"/>
      <c r="D15" s="11"/>
      <c r="E15" s="11"/>
      <c r="F15" s="10"/>
      <c r="G15" s="10"/>
      <c r="H15" s="10"/>
      <c r="I15" s="10"/>
      <c r="J15" s="10"/>
      <c r="K15" s="10"/>
      <c r="L15" s="10"/>
      <c r="M15" s="10"/>
      <c r="N15" s="10"/>
      <c r="O15" s="10"/>
      <c r="P15" s="10"/>
      <c r="Q15" s="10"/>
      <c r="R15" s="10"/>
    </row>
    <row r="16" spans="1:18" ht="15.75" x14ac:dyDescent="0.25">
      <c r="A16" s="10"/>
      <c r="B16" s="10"/>
      <c r="C16" s="10"/>
      <c r="D16" s="10"/>
      <c r="E16" s="10"/>
      <c r="F16" s="10"/>
      <c r="G16" s="10"/>
      <c r="H16" s="10"/>
      <c r="I16" s="10"/>
      <c r="J16" s="10"/>
      <c r="K16" s="10"/>
      <c r="L16" s="10"/>
      <c r="M16" s="10"/>
      <c r="N16" s="10"/>
      <c r="O16" s="10"/>
      <c r="P16" s="10"/>
      <c r="Q16" s="10"/>
      <c r="R16" s="10"/>
    </row>
    <row r="17" spans="1:18" ht="15.75" x14ac:dyDescent="0.25">
      <c r="A17" s="11" t="s">
        <v>68</v>
      </c>
      <c r="B17" s="10"/>
      <c r="C17" s="10"/>
      <c r="D17" s="10"/>
      <c r="E17" s="10"/>
      <c r="F17" s="10"/>
      <c r="G17" s="10"/>
      <c r="H17" s="10"/>
      <c r="I17" s="10"/>
      <c r="J17" s="10"/>
      <c r="K17" s="10"/>
      <c r="L17" s="10"/>
      <c r="M17" s="10"/>
      <c r="N17" s="10"/>
      <c r="O17" s="10"/>
      <c r="P17" s="10"/>
      <c r="Q17" s="10"/>
      <c r="R17" s="10"/>
    </row>
    <row r="18" spans="1:18" ht="15.75" x14ac:dyDescent="0.25">
      <c r="A18" s="10" t="s">
        <v>66</v>
      </c>
      <c r="B18" s="10"/>
      <c r="C18" s="10"/>
      <c r="D18" s="10"/>
      <c r="E18" s="10"/>
      <c r="F18" s="10"/>
      <c r="G18" s="10"/>
      <c r="H18" s="10"/>
      <c r="I18" s="10"/>
      <c r="J18" s="10"/>
      <c r="K18" s="10"/>
      <c r="L18" s="10"/>
      <c r="M18" s="10"/>
      <c r="N18" s="10"/>
      <c r="O18" s="10"/>
      <c r="P18" s="10"/>
      <c r="Q18" s="10"/>
      <c r="R18" s="10"/>
    </row>
    <row r="19" spans="1:18" x14ac:dyDescent="0.25">
      <c r="A19" s="1"/>
      <c r="B19" s="1"/>
      <c r="C19" s="1"/>
      <c r="D19" s="1"/>
      <c r="E19" s="1"/>
      <c r="F19" s="1"/>
      <c r="G19" s="1"/>
      <c r="H19" s="1"/>
      <c r="I19" s="1"/>
      <c r="J19" s="1"/>
      <c r="K19" s="1"/>
      <c r="L19" s="1"/>
      <c r="M19" s="1"/>
      <c r="N19" s="1"/>
      <c r="O19" s="1"/>
      <c r="P19" s="1"/>
      <c r="Q19" s="1"/>
      <c r="R19"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CD632-E9FB-4989-8763-8FC4DA5A5369}">
  <dimension ref="A2:N17"/>
  <sheetViews>
    <sheetView workbookViewId="0">
      <selection activeCell="A12" sqref="A12"/>
    </sheetView>
  </sheetViews>
  <sheetFormatPr defaultRowHeight="15" x14ac:dyDescent="0.25"/>
  <cols>
    <col min="2" max="2" width="10.85546875" customWidth="1"/>
  </cols>
  <sheetData>
    <row r="2" spans="1:14" ht="18.75" x14ac:dyDescent="0.3">
      <c r="A2" s="5" t="s">
        <v>70</v>
      </c>
      <c r="B2" s="5"/>
      <c r="C2" s="5"/>
      <c r="D2" s="5"/>
      <c r="E2" s="5"/>
      <c r="F2" s="5"/>
      <c r="G2" s="5"/>
      <c r="H2" s="5"/>
      <c r="I2" s="5"/>
      <c r="J2" s="5"/>
      <c r="K2" s="5"/>
      <c r="L2" s="5"/>
      <c r="M2" s="15"/>
      <c r="N2" s="15"/>
    </row>
    <row r="3" spans="1:14" ht="18.75" x14ac:dyDescent="0.3">
      <c r="A3" s="5" t="s">
        <v>69</v>
      </c>
      <c r="B3" s="5"/>
      <c r="C3" s="5"/>
      <c r="D3" s="5"/>
      <c r="E3" s="5"/>
      <c r="F3" s="5"/>
      <c r="G3" s="5"/>
      <c r="H3" s="5"/>
      <c r="I3" s="5"/>
      <c r="J3" s="5"/>
      <c r="K3" s="5"/>
      <c r="L3" s="5"/>
      <c r="M3" s="15"/>
      <c r="N3" s="15"/>
    </row>
    <row r="4" spans="1:14" ht="18.75" x14ac:dyDescent="0.3">
      <c r="A4" s="4"/>
      <c r="B4" s="4"/>
      <c r="C4" s="4"/>
      <c r="D4" s="4"/>
      <c r="E4" s="4"/>
      <c r="F4" s="4"/>
      <c r="G4" s="4"/>
      <c r="H4" s="4"/>
      <c r="I4" s="4"/>
      <c r="J4" s="4"/>
      <c r="K4" s="4"/>
      <c r="L4" s="4"/>
    </row>
    <row r="5" spans="1:14" ht="18.75" x14ac:dyDescent="0.3">
      <c r="A5" s="4"/>
      <c r="B5" s="36" t="s">
        <v>51</v>
      </c>
      <c r="C5" s="36" t="s">
        <v>52</v>
      </c>
      <c r="D5" s="4"/>
      <c r="E5" s="4"/>
      <c r="F5" s="4"/>
      <c r="G5" s="4"/>
      <c r="H5" s="4"/>
      <c r="I5" s="4"/>
      <c r="J5" s="4"/>
      <c r="K5" s="4"/>
      <c r="L5" s="4"/>
    </row>
    <row r="6" spans="1:14" ht="18.75" x14ac:dyDescent="0.3">
      <c r="A6" s="4"/>
      <c r="B6" s="42">
        <v>1</v>
      </c>
      <c r="C6" s="42">
        <v>15</v>
      </c>
      <c r="D6" s="4"/>
      <c r="E6" s="4"/>
      <c r="F6" s="4"/>
      <c r="G6" s="4"/>
      <c r="H6" s="4"/>
      <c r="I6" s="4"/>
      <c r="J6" s="4"/>
      <c r="K6" s="4"/>
      <c r="L6" s="4"/>
    </row>
    <row r="7" spans="1:14" ht="18.75" x14ac:dyDescent="0.3">
      <c r="A7" s="4"/>
      <c r="B7" s="42">
        <v>2</v>
      </c>
      <c r="C7" s="42">
        <v>12</v>
      </c>
      <c r="D7" s="4"/>
      <c r="E7" s="4"/>
      <c r="F7" s="4"/>
      <c r="G7" s="4"/>
      <c r="H7" s="4"/>
      <c r="I7" s="4"/>
      <c r="J7" s="4"/>
      <c r="K7" s="4"/>
      <c r="L7" s="4"/>
    </row>
    <row r="8" spans="1:14" ht="18.75" x14ac:dyDescent="0.3">
      <c r="A8" s="4"/>
      <c r="B8" s="42">
        <v>3</v>
      </c>
      <c r="C8" s="42">
        <v>9</v>
      </c>
      <c r="D8" s="4"/>
      <c r="E8" s="4"/>
      <c r="F8" s="4"/>
      <c r="G8" s="4"/>
      <c r="H8" s="4"/>
      <c r="I8" s="4"/>
      <c r="J8" s="4"/>
      <c r="K8" s="4"/>
      <c r="L8" s="4"/>
    </row>
    <row r="9" spans="1:14" ht="18.75" x14ac:dyDescent="0.3">
      <c r="A9" s="4"/>
      <c r="B9" s="42">
        <v>4</v>
      </c>
      <c r="C9" s="42">
        <v>7</v>
      </c>
      <c r="D9" s="4"/>
      <c r="E9" s="4"/>
      <c r="F9" s="4"/>
      <c r="G9" s="4"/>
      <c r="H9" s="4"/>
      <c r="I9" s="4"/>
      <c r="J9" s="4"/>
      <c r="K9" s="4"/>
      <c r="L9" s="4"/>
    </row>
    <row r="10" spans="1:14" ht="18.75" x14ac:dyDescent="0.3">
      <c r="A10" s="4"/>
      <c r="B10" s="42">
        <v>5</v>
      </c>
      <c r="C10" s="42">
        <v>3</v>
      </c>
      <c r="D10" s="4"/>
      <c r="E10" s="4"/>
      <c r="F10" s="4"/>
      <c r="G10" s="4"/>
      <c r="H10" s="4"/>
      <c r="I10" s="4"/>
      <c r="J10" s="4"/>
      <c r="K10" s="4"/>
      <c r="L10" s="4"/>
    </row>
    <row r="11" spans="1:14" ht="18.75" x14ac:dyDescent="0.3">
      <c r="A11" s="4"/>
      <c r="B11" s="4"/>
      <c r="C11" s="4"/>
      <c r="D11" s="4"/>
      <c r="E11" s="4"/>
      <c r="F11" s="4"/>
      <c r="G11" s="4"/>
      <c r="H11" s="4"/>
      <c r="I11" s="4"/>
      <c r="J11" s="4"/>
      <c r="K11" s="4"/>
      <c r="L11" s="4"/>
    </row>
    <row r="12" spans="1:14" ht="18.75" x14ac:dyDescent="0.3">
      <c r="A12" s="10" t="s">
        <v>2</v>
      </c>
      <c r="B12" s="10"/>
      <c r="C12" s="10"/>
      <c r="D12" s="10"/>
      <c r="E12" s="10"/>
      <c r="F12" s="10"/>
      <c r="G12" s="10"/>
      <c r="H12" s="10"/>
      <c r="I12" s="4"/>
      <c r="J12" s="4"/>
      <c r="K12" s="4"/>
      <c r="L12" s="4"/>
    </row>
    <row r="13" spans="1:14" ht="18.75" x14ac:dyDescent="0.3">
      <c r="B13" s="45">
        <f>CORREL(B6:B10,C6:C10)</f>
        <v>-0.99586408862799536</v>
      </c>
      <c r="C13" s="10"/>
      <c r="D13" s="10"/>
      <c r="E13" s="10"/>
      <c r="F13" s="10"/>
      <c r="G13" s="10"/>
      <c r="H13" s="10"/>
      <c r="I13" s="4"/>
      <c r="J13" s="4"/>
      <c r="K13" s="4"/>
      <c r="L13" s="4"/>
    </row>
    <row r="14" spans="1:14" ht="18.75" x14ac:dyDescent="0.3">
      <c r="A14" s="10"/>
      <c r="B14" s="10"/>
      <c r="C14" s="10"/>
      <c r="D14" s="10"/>
      <c r="E14" s="10"/>
      <c r="F14" s="10"/>
      <c r="G14" s="10"/>
      <c r="H14" s="10"/>
      <c r="I14" s="4"/>
      <c r="J14" s="4"/>
      <c r="K14" s="4"/>
      <c r="L14" s="4"/>
    </row>
    <row r="15" spans="1:14" ht="18.75" x14ac:dyDescent="0.3">
      <c r="A15" s="10" t="s">
        <v>71</v>
      </c>
      <c r="B15" s="10"/>
      <c r="C15" s="10"/>
      <c r="D15" s="10"/>
      <c r="E15" s="10"/>
      <c r="F15" s="10"/>
      <c r="G15" s="10"/>
      <c r="H15" s="10"/>
      <c r="I15" s="4"/>
      <c r="J15" s="4"/>
      <c r="K15" s="4"/>
      <c r="L15" s="4"/>
    </row>
    <row r="16" spans="1:14" ht="18.75" x14ac:dyDescent="0.3">
      <c r="A16" s="10" t="s">
        <v>72</v>
      </c>
      <c r="B16" s="10"/>
      <c r="C16" s="10"/>
      <c r="D16" s="10"/>
      <c r="E16" s="10"/>
      <c r="F16" s="10"/>
      <c r="G16" s="10"/>
      <c r="H16" s="10"/>
      <c r="I16" s="4"/>
      <c r="J16" s="4"/>
      <c r="K16" s="4"/>
      <c r="L16" s="4"/>
    </row>
    <row r="17" spans="1:12" ht="18.75" x14ac:dyDescent="0.3">
      <c r="A17" s="4"/>
      <c r="B17" s="4"/>
      <c r="C17" s="4"/>
      <c r="D17" s="4"/>
      <c r="E17" s="4"/>
      <c r="F17" s="4"/>
      <c r="G17" s="4"/>
      <c r="H17" s="4"/>
      <c r="I17" s="4"/>
      <c r="J17" s="4"/>
      <c r="K17" s="4"/>
      <c r="L17" s="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BDE8-C760-4132-9585-36BB4F91F530}">
  <dimension ref="A2:M28"/>
  <sheetViews>
    <sheetView workbookViewId="0">
      <selection activeCell="A12" sqref="A12"/>
    </sheetView>
  </sheetViews>
  <sheetFormatPr defaultRowHeight="15" x14ac:dyDescent="0.25"/>
  <cols>
    <col min="3" max="3" width="16.7109375" customWidth="1"/>
    <col min="4" max="4" width="14.42578125" customWidth="1"/>
    <col min="5" max="5" width="15.42578125" customWidth="1"/>
    <col min="6" max="6" width="22.5703125" customWidth="1"/>
  </cols>
  <sheetData>
    <row r="2" spans="1:13" ht="18.75" x14ac:dyDescent="0.3">
      <c r="A2" s="5" t="s">
        <v>73</v>
      </c>
      <c r="B2" s="5"/>
      <c r="C2" s="5"/>
      <c r="D2" s="5"/>
      <c r="E2" s="5"/>
      <c r="F2" s="5"/>
      <c r="G2" s="5"/>
      <c r="H2" s="6"/>
      <c r="I2" s="6"/>
      <c r="J2" s="15"/>
    </row>
    <row r="3" spans="1:13" ht="18.75" x14ac:dyDescent="0.3">
      <c r="A3" s="5" t="s">
        <v>74</v>
      </c>
      <c r="B3" s="5"/>
      <c r="C3" s="5"/>
      <c r="D3" s="5"/>
      <c r="E3" s="5"/>
      <c r="F3" s="5"/>
      <c r="G3" s="5"/>
      <c r="H3" s="6"/>
      <c r="I3" s="6"/>
      <c r="J3" s="15"/>
    </row>
    <row r="4" spans="1:13" ht="18.75" x14ac:dyDescent="0.3">
      <c r="A4" s="4"/>
      <c r="B4" s="4"/>
      <c r="C4" s="4"/>
      <c r="D4" s="4"/>
      <c r="E4" s="4"/>
      <c r="F4" s="4"/>
      <c r="G4" s="4"/>
    </row>
    <row r="5" spans="1:13" ht="18.75" x14ac:dyDescent="0.3">
      <c r="A5" s="4"/>
      <c r="B5" s="44" t="s">
        <v>75</v>
      </c>
      <c r="C5" s="44" t="s">
        <v>76</v>
      </c>
      <c r="D5" s="44" t="s">
        <v>77</v>
      </c>
      <c r="E5" s="4"/>
      <c r="F5" s="4"/>
      <c r="G5" s="4"/>
    </row>
    <row r="6" spans="1:13" ht="18.75" x14ac:dyDescent="0.3">
      <c r="A6" s="4"/>
      <c r="B6" s="34">
        <v>1</v>
      </c>
      <c r="C6" s="34">
        <v>8</v>
      </c>
      <c r="D6" s="34">
        <v>6</v>
      </c>
      <c r="E6" s="4"/>
      <c r="F6" s="4"/>
      <c r="G6" s="4"/>
    </row>
    <row r="7" spans="1:13" ht="18.75" x14ac:dyDescent="0.3">
      <c r="A7" s="4"/>
      <c r="B7" s="34">
        <v>2</v>
      </c>
      <c r="C7" s="34">
        <v>10</v>
      </c>
      <c r="D7" s="34">
        <v>9</v>
      </c>
      <c r="E7" s="4"/>
      <c r="F7" s="4"/>
      <c r="G7" s="4"/>
    </row>
    <row r="8" spans="1:13" ht="18.75" x14ac:dyDescent="0.3">
      <c r="A8" s="4"/>
      <c r="B8" s="34">
        <v>3</v>
      </c>
      <c r="C8" s="34">
        <v>12</v>
      </c>
      <c r="D8" s="34">
        <v>11</v>
      </c>
      <c r="E8" s="4"/>
      <c r="F8" s="4"/>
      <c r="G8" s="4"/>
    </row>
    <row r="9" spans="1:13" ht="18.75" x14ac:dyDescent="0.3">
      <c r="A9" s="4"/>
      <c r="B9" s="34">
        <v>4</v>
      </c>
      <c r="C9" s="34">
        <v>9</v>
      </c>
      <c r="D9" s="34">
        <v>8</v>
      </c>
      <c r="E9" s="4"/>
      <c r="F9" s="4"/>
      <c r="G9" s="4"/>
    </row>
    <row r="10" spans="1:13" ht="18.75" x14ac:dyDescent="0.3">
      <c r="A10" s="4"/>
      <c r="B10" s="34">
        <v>5</v>
      </c>
      <c r="C10" s="34">
        <v>11</v>
      </c>
      <c r="D10" s="34">
        <v>10</v>
      </c>
      <c r="E10" s="4"/>
      <c r="F10" s="4"/>
      <c r="G10" s="4"/>
    </row>
    <row r="12" spans="1:13" ht="15.75" x14ac:dyDescent="0.25">
      <c r="A12" s="10" t="s">
        <v>2</v>
      </c>
      <c r="B12" s="10"/>
      <c r="C12" s="10"/>
      <c r="D12" s="10"/>
      <c r="E12" s="1"/>
      <c r="F12" s="1"/>
      <c r="G12" s="1"/>
      <c r="H12" s="1"/>
      <c r="I12" s="1"/>
      <c r="J12" s="1"/>
      <c r="K12" s="1"/>
      <c r="L12" s="1"/>
      <c r="M12" s="1"/>
    </row>
    <row r="13" spans="1:13" ht="15.75" x14ac:dyDescent="0.25">
      <c r="A13" s="11" t="s">
        <v>53</v>
      </c>
      <c r="B13" s="46"/>
      <c r="C13" s="49"/>
      <c r="D13" s="46"/>
      <c r="E13" s="25"/>
      <c r="F13" s="25"/>
      <c r="G13" s="1"/>
      <c r="H13" s="1"/>
      <c r="I13" s="1"/>
      <c r="J13" s="1"/>
      <c r="K13" s="1"/>
      <c r="L13" s="1"/>
      <c r="M13" s="1"/>
    </row>
    <row r="14" spans="1:13" ht="15.75" x14ac:dyDescent="0.25">
      <c r="A14" s="40">
        <f>_xlfn.COVARIANCE.S(C6:C10, D6:D10)</f>
        <v>3</v>
      </c>
      <c r="B14" s="47"/>
      <c r="D14" s="47"/>
      <c r="E14" s="24"/>
      <c r="F14" s="24"/>
      <c r="G14" s="1"/>
      <c r="H14" s="1"/>
      <c r="I14" s="1"/>
      <c r="J14" s="1"/>
      <c r="K14" s="1"/>
      <c r="L14" s="1"/>
      <c r="M14" s="1"/>
    </row>
    <row r="15" spans="1:13" ht="15.75" x14ac:dyDescent="0.25">
      <c r="A15" s="10" t="s">
        <v>78</v>
      </c>
      <c r="B15" s="47"/>
      <c r="C15" s="47"/>
      <c r="D15" s="47"/>
      <c r="E15" s="24"/>
      <c r="F15" s="24"/>
      <c r="G15" s="1"/>
      <c r="H15" s="1"/>
      <c r="I15" s="1"/>
      <c r="J15" s="1"/>
      <c r="K15" s="1"/>
      <c r="L15" s="1"/>
      <c r="M15" s="1"/>
    </row>
    <row r="16" spans="1:13" ht="15.75" x14ac:dyDescent="0.25">
      <c r="A16" s="10"/>
      <c r="B16" s="47"/>
      <c r="C16" s="47"/>
      <c r="D16" s="47"/>
      <c r="E16" s="24"/>
      <c r="F16" s="24"/>
      <c r="G16" s="1"/>
      <c r="H16" s="1"/>
      <c r="I16" s="1"/>
      <c r="J16" s="1"/>
      <c r="K16" s="1"/>
      <c r="L16" s="1"/>
      <c r="M16" s="1"/>
    </row>
    <row r="17" spans="1:13" ht="15.75" x14ac:dyDescent="0.25">
      <c r="A17" s="11" t="s">
        <v>54</v>
      </c>
      <c r="B17" s="48"/>
      <c r="C17" s="48"/>
      <c r="D17" s="48"/>
      <c r="E17" s="24"/>
      <c r="F17" s="24"/>
      <c r="G17" s="1"/>
      <c r="H17" s="1"/>
      <c r="I17" s="1"/>
      <c r="J17" s="1"/>
      <c r="K17" s="1"/>
      <c r="L17" s="1"/>
      <c r="M17" s="1"/>
    </row>
    <row r="18" spans="1:13" ht="15.75" x14ac:dyDescent="0.25">
      <c r="A18" s="40">
        <f>_xlfn.COVARIANCE.P(C6:C10, D6:D10)</f>
        <v>2.4</v>
      </c>
      <c r="B18" s="10"/>
      <c r="C18" s="10"/>
      <c r="D18" s="10"/>
      <c r="E18" s="24"/>
      <c r="F18" s="24"/>
      <c r="G18" s="1"/>
      <c r="H18" s="1"/>
      <c r="I18" s="1"/>
      <c r="J18" s="1"/>
      <c r="K18" s="1"/>
      <c r="L18" s="1"/>
      <c r="M18" s="1"/>
    </row>
    <row r="19" spans="1:13" ht="15.75" x14ac:dyDescent="0.25">
      <c r="A19" s="10" t="s">
        <v>79</v>
      </c>
      <c r="B19" s="10"/>
      <c r="C19" s="10"/>
      <c r="D19" s="10"/>
      <c r="E19" s="1"/>
      <c r="F19" s="1"/>
      <c r="G19" s="1"/>
      <c r="H19" s="1"/>
      <c r="I19" s="1"/>
      <c r="J19" s="1"/>
      <c r="K19" s="1"/>
      <c r="L19" s="1"/>
      <c r="M19" s="1"/>
    </row>
    <row r="20" spans="1:13" ht="15.75" x14ac:dyDescent="0.25">
      <c r="A20" s="10"/>
      <c r="B20" s="10"/>
      <c r="C20" s="10"/>
      <c r="D20" s="10"/>
      <c r="E20" s="1"/>
      <c r="F20" s="1"/>
      <c r="G20" s="1"/>
      <c r="H20" s="1"/>
      <c r="I20" s="1"/>
      <c r="J20" s="1"/>
      <c r="K20" s="1"/>
      <c r="L20" s="1"/>
      <c r="M20" s="1"/>
    </row>
    <row r="21" spans="1:13" ht="15.75" x14ac:dyDescent="0.25">
      <c r="A21" s="11" t="s">
        <v>59</v>
      </c>
      <c r="B21" s="11"/>
      <c r="C21" s="11"/>
      <c r="D21" s="11"/>
      <c r="E21" s="1"/>
      <c r="F21" s="1"/>
      <c r="G21" s="1"/>
      <c r="H21" s="1"/>
      <c r="I21" s="1"/>
      <c r="J21" s="1"/>
      <c r="K21" s="1"/>
      <c r="L21" s="1"/>
      <c r="M21" s="1"/>
    </row>
    <row r="22" spans="1:13" ht="15.75" x14ac:dyDescent="0.25">
      <c r="A22" s="40">
        <f>CORREL(C6:C10, D6:D10)</f>
        <v>0.98639392383214364</v>
      </c>
      <c r="B22" s="10"/>
      <c r="C22" s="10"/>
      <c r="D22" s="10"/>
      <c r="E22" s="1"/>
      <c r="F22" s="1"/>
      <c r="G22" s="1"/>
      <c r="H22" s="1"/>
      <c r="I22" s="1"/>
      <c r="J22" s="1"/>
      <c r="K22" s="1"/>
      <c r="L22" s="1"/>
      <c r="M22" s="1"/>
    </row>
    <row r="23" spans="1:13" ht="15.75" x14ac:dyDescent="0.25">
      <c r="A23" s="10" t="s">
        <v>80</v>
      </c>
      <c r="B23" s="10"/>
      <c r="C23" s="10"/>
      <c r="D23" s="10"/>
      <c r="E23" s="1"/>
      <c r="F23" s="1"/>
      <c r="G23" s="1"/>
      <c r="H23" s="1"/>
      <c r="I23" s="1"/>
      <c r="J23" s="1"/>
      <c r="K23" s="1"/>
      <c r="L23" s="1"/>
      <c r="M23" s="1"/>
    </row>
    <row r="24" spans="1:13" ht="15.75" x14ac:dyDescent="0.25">
      <c r="A24" s="10"/>
      <c r="B24" s="10"/>
      <c r="C24" s="10"/>
      <c r="D24" s="10"/>
      <c r="E24" s="1"/>
      <c r="F24" s="1"/>
      <c r="G24" s="1"/>
      <c r="H24" s="1"/>
      <c r="I24" s="1"/>
      <c r="J24" s="1"/>
      <c r="K24" s="1"/>
      <c r="L24" s="1"/>
      <c r="M24" s="1"/>
    </row>
    <row r="25" spans="1:13" ht="15.75" x14ac:dyDescent="0.25">
      <c r="A25" s="11" t="s">
        <v>8</v>
      </c>
      <c r="B25" s="11"/>
      <c r="C25" s="10"/>
      <c r="D25" s="10"/>
      <c r="E25" s="10"/>
      <c r="F25" s="10"/>
      <c r="G25" s="10"/>
      <c r="H25" s="10"/>
      <c r="I25" s="10"/>
      <c r="J25" s="10"/>
      <c r="K25" s="1"/>
      <c r="L25" s="1"/>
      <c r="M25" s="1"/>
    </row>
    <row r="26" spans="1:13" ht="15.75" x14ac:dyDescent="0.25">
      <c r="A26" s="11" t="s">
        <v>81</v>
      </c>
      <c r="B26" s="10"/>
      <c r="C26" s="10"/>
      <c r="D26" s="10"/>
      <c r="E26" s="10"/>
      <c r="F26" s="10"/>
      <c r="G26" s="10"/>
      <c r="H26" s="10"/>
      <c r="I26" s="10"/>
      <c r="J26" s="10"/>
      <c r="K26" s="1"/>
      <c r="L26" s="1"/>
      <c r="M26" s="1"/>
    </row>
    <row r="27" spans="1:13" ht="15.75" x14ac:dyDescent="0.25">
      <c r="A27" s="11" t="s">
        <v>82</v>
      </c>
      <c r="B27" s="10"/>
      <c r="C27" s="10"/>
      <c r="D27" s="10"/>
      <c r="E27" s="10"/>
      <c r="F27" s="10"/>
      <c r="G27" s="10"/>
      <c r="H27" s="10"/>
      <c r="I27" s="10"/>
      <c r="J27" s="10"/>
      <c r="K27" s="1"/>
      <c r="L27" s="1"/>
      <c r="M27" s="1"/>
    </row>
    <row r="28" spans="1:13" x14ac:dyDescent="0.25">
      <c r="A28" s="1"/>
      <c r="B28" s="1"/>
      <c r="C28" s="1"/>
      <c r="D28" s="1"/>
      <c r="E28" s="1"/>
      <c r="F28" s="1"/>
      <c r="G28" s="1"/>
      <c r="H28" s="1"/>
      <c r="I28" s="1"/>
      <c r="J28" s="1"/>
      <c r="K28" s="1"/>
      <c r="L28" s="1"/>
      <c r="M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s7249</dc:creator>
  <cp:lastModifiedBy>s7249</cp:lastModifiedBy>
  <dcterms:created xsi:type="dcterms:W3CDTF">2026-01-07T17:52:08Z</dcterms:created>
  <dcterms:modified xsi:type="dcterms:W3CDTF">2026-01-07T19:51:35Z</dcterms:modified>
</cp:coreProperties>
</file>