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0" documentId="8_{B6DA5D09-28C9-44C1-8AC8-0860765B05F0}" xr6:coauthVersionLast="47" xr6:coauthVersionMax="47" xr10:uidLastSave="{00000000-0000-0000-0000-000000000000}"/>
  <bookViews>
    <workbookView xWindow="-120" yWindow="-120" windowWidth="20730" windowHeight="11160" xr2:uid="{F654FDB3-6903-42E3-9B93-CBEA790A8BB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0" l="1"/>
  <c r="F13" i="10"/>
  <c r="F12" i="10"/>
  <c r="F11" i="10"/>
  <c r="F9" i="10"/>
  <c r="F8" i="10"/>
  <c r="D10" i="9"/>
  <c r="D8" i="9"/>
  <c r="D12" i="6"/>
  <c r="D10" i="6"/>
  <c r="D8" i="6"/>
  <c r="D12" i="5"/>
  <c r="D10" i="5"/>
  <c r="D8" i="5"/>
  <c r="D8" i="4"/>
  <c r="D8" i="3"/>
  <c r="E13" i="2"/>
  <c r="E11" i="2"/>
  <c r="E9" i="2"/>
  <c r="E15" i="1"/>
  <c r="E13" i="1"/>
  <c r="E12" i="1"/>
</calcChain>
</file>

<file path=xl/sharedStrings.xml><?xml version="1.0" encoding="utf-8"?>
<sst xmlns="http://schemas.openxmlformats.org/spreadsheetml/2006/main" count="137" uniqueCount="127">
  <si>
    <t>Q1: Understanding Central Tendency (Easy)</t>
  </si>
  <si>
    <t>What is the most representative value of their weekly sales, and why?</t>
  </si>
  <si>
    <t>A bakery tracks the daily sales of muffins (in dozens) over a week: [10, 12, 11, 15, 14, 13, 12].</t>
  </si>
  <si>
    <t xml:space="preserve">Sol: </t>
  </si>
  <si>
    <r>
      <t>Data:</t>
    </r>
    <r>
      <rPr>
        <sz val="14"/>
        <color theme="1"/>
        <rFont val="Calibri"/>
        <family val="2"/>
        <scheme val="minor"/>
      </rPr>
      <t xml:space="preserve"> Daily muffin sales (in dozens) over a week: </t>
    </r>
    <r>
      <rPr>
        <b/>
        <sz val="14"/>
        <color theme="1"/>
        <rFont val="Calibri"/>
        <family val="2"/>
        <scheme val="minor"/>
      </rPr>
      <t>[10, 12, 11, 15, 14, 13, 12]</t>
    </r>
    <r>
      <rPr>
        <sz val="14"/>
        <color theme="1"/>
        <rFont val="Calibri"/>
        <family val="2"/>
        <scheme val="minor"/>
      </rPr>
      <t>.</t>
    </r>
  </si>
  <si>
    <r>
      <t xml:space="preserve">The most representative value for this dataset is the </t>
    </r>
    <r>
      <rPr>
        <b/>
        <sz val="14"/>
        <color theme="1"/>
        <rFont val="Calibri"/>
        <family val="2"/>
        <scheme val="minor"/>
      </rPr>
      <t>Mean (Average)</t>
    </r>
    <r>
      <rPr>
        <sz val="14"/>
        <color theme="1"/>
        <rFont val="Calibri"/>
        <family val="2"/>
        <scheme val="minor"/>
      </rPr>
      <t>.</t>
    </r>
  </si>
  <si>
    <r>
      <t>The Result:</t>
    </r>
    <r>
      <rPr>
        <sz val="14"/>
        <color theme="1"/>
        <rFont val="Calibri"/>
        <family val="2"/>
        <scheme val="minor"/>
      </rPr>
      <t xml:space="preserve"> The mean is approximately </t>
    </r>
    <r>
      <rPr>
        <b/>
        <sz val="14"/>
        <color theme="1"/>
        <rFont val="Calibri"/>
        <family val="2"/>
        <scheme val="minor"/>
      </rPr>
      <t>12.43 dozen muffins</t>
    </r>
    <r>
      <rPr>
        <sz val="14"/>
        <color theme="1"/>
        <rFont val="Calibri"/>
        <family val="2"/>
        <scheme val="minor"/>
      </rPr>
      <t>.</t>
    </r>
  </si>
  <si>
    <r>
      <t xml:space="preserve">The Mean is the best measure here because the data is </t>
    </r>
    <r>
      <rPr>
        <b/>
        <sz val="14"/>
        <color theme="1"/>
        <rFont val="Calibri"/>
        <family val="2"/>
        <scheme val="minor"/>
      </rPr>
      <t>relatively consistent</t>
    </r>
    <r>
      <rPr>
        <sz val="14"/>
        <color theme="1"/>
        <rFont val="Calibri"/>
        <family val="2"/>
        <scheme val="minor"/>
      </rPr>
      <t xml:space="preserve"> and does not contain any extreme "outliers" (values that are much higher or lower than the rest).</t>
    </r>
  </si>
  <si>
    <t>Balance: It takes every day's sales into account to provide a single central value.</t>
  </si>
  <si>
    <t>Alternative (Mode): The Mode (the most frequent number) is also 12, as it appears twice.</t>
  </si>
  <si>
    <t>Alternative (Median): If we sort the data [10, 11, 12, 12, 13, 14, 15], the Median is 12. This is very close to our mean, further proving the data is stable.</t>
  </si>
  <si>
    <t>What is the mean score, and what does it tell us about the class’s performance?</t>
  </si>
  <si>
    <t>A teacher records the marks of her students in a short quiz: [12, 15, 14, 16, 18, 20, 19].</t>
  </si>
  <si>
    <t>Q2: Mean in Real Life (Easy)</t>
  </si>
  <si>
    <t>Sol:</t>
  </si>
  <si>
    <r>
      <t>Result:</t>
    </r>
    <r>
      <rPr>
        <sz val="14"/>
        <color theme="1"/>
        <rFont val="Calibri"/>
        <family val="2"/>
        <scheme val="minor"/>
      </rPr>
      <t xml:space="preserve"> The mean score is approximately </t>
    </r>
    <r>
      <rPr>
        <b/>
        <sz val="14"/>
        <color theme="1"/>
        <rFont val="Calibri"/>
        <family val="2"/>
        <scheme val="minor"/>
      </rPr>
      <t>16.29</t>
    </r>
    <r>
      <rPr>
        <sz val="14"/>
        <color theme="1"/>
        <rFont val="Calibri"/>
        <family val="2"/>
        <scheme val="minor"/>
      </rPr>
      <t>.</t>
    </r>
  </si>
  <si>
    <r>
      <t xml:space="preserve">A mean of </t>
    </r>
    <r>
      <rPr>
        <b/>
        <sz val="14"/>
        <color theme="1"/>
        <rFont val="Calibri"/>
        <family val="2"/>
        <scheme val="minor"/>
      </rPr>
      <t>16.29</t>
    </r>
    <r>
      <rPr>
        <sz val="14"/>
        <color theme="1"/>
        <rFont val="Calibri"/>
        <family val="2"/>
        <scheme val="minor"/>
      </rPr>
      <t xml:space="preserve"> out of 20 (assuming 20 is the max score based on the data) indicates that the class performed quite well, as the average is above 80%</t>
    </r>
  </si>
  <si>
    <t>It represents the "center" of the class performance; if every student had performed identically, they would have each scored about 16.</t>
  </si>
  <si>
    <t>The teacher can use this number to compare this class's performance against other sections or to track progress over the semester.</t>
  </si>
  <si>
    <t>Q3: Mode in Real Life (Easy)</t>
  </si>
  <si>
    <t>A store records the shoe sizes sold in one day: [7, 8, 9, 8, 8, 10, 7, 9]</t>
  </si>
  <si>
    <t>What is the mode, and why is this information useful for the store manager?</t>
  </si>
  <si>
    <r>
      <t>Result:</t>
    </r>
    <r>
      <rPr>
        <sz val="14"/>
        <color theme="1"/>
        <rFont val="Calibri"/>
        <family val="2"/>
        <scheme val="minor"/>
      </rPr>
      <t xml:space="preserve"> The mode is </t>
    </r>
    <r>
      <rPr>
        <b/>
        <sz val="14"/>
        <color theme="1"/>
        <rFont val="Calibri"/>
        <family val="2"/>
        <scheme val="minor"/>
      </rPr>
      <t>8</t>
    </r>
    <r>
      <rPr>
        <sz val="14"/>
        <color theme="1"/>
        <rFont val="Calibri"/>
        <family val="2"/>
        <scheme val="minor"/>
      </rPr>
      <t>.</t>
    </r>
  </si>
  <si>
    <t>In retail and inventory management, the mode is often more important than the average.</t>
  </si>
  <si>
    <t>Inventory Planning: It tells the manager which specific shoe size is in the highest demand.</t>
  </si>
  <si>
    <t>Stock Optimization: The manager knows to order more of size 8 to prevent "stock-outs" and can order fewer of size 10.</t>
  </si>
  <si>
    <t>Q4: Median in Real Life (Medium)</t>
  </si>
  <si>
    <t>A car dealer notes the prices of used cars: [$8,000, $9,500, $10,200, $11,000, $50,000]</t>
  </si>
  <si>
    <t>Why is the median a better measure than the mean in this case? Calculate the median.</t>
  </si>
  <si>
    <r>
      <t>Result:</t>
    </r>
    <r>
      <rPr>
        <sz val="14"/>
        <color theme="1"/>
        <rFont val="Calibri"/>
        <family val="2"/>
        <scheme val="minor"/>
      </rPr>
      <t xml:space="preserve"> The median is </t>
    </r>
    <r>
      <rPr>
        <b/>
        <sz val="14"/>
        <color theme="1"/>
        <rFont val="Calibri"/>
        <family val="2"/>
        <scheme val="minor"/>
      </rPr>
      <t>10,200</t>
    </r>
  </si>
  <si>
    <t>Outlier Impact: The price 50,000 is an outlier—it is significantly higher than the other cars in the lot.</t>
  </si>
  <si>
    <t>Skewing the Average: If we calculated the mean, it would be 17,740. This is misleading because 80% of the cars actually cost much less than that.</t>
  </si>
  <si>
    <t>Why the Median is better than the Mean here?</t>
  </si>
  <si>
    <t>Q5: Dispersion Introduction (Medium)</t>
  </si>
  <si>
    <t>A student times how long it takes to finish a puzzle each day: [25, 30, 27, 35, 40].</t>
  </si>
  <si>
    <t>What does the range tell us about the variation in the student’s puzzle-solving time?</t>
  </si>
  <si>
    <t>Highest Value - Lowest Value</t>
  </si>
  <si>
    <t>Variation: The range of 15 minutes shows the total spread of time the student takes to finish a puzzle.</t>
  </si>
  <si>
    <t xml:space="preserve">Consistency: A relatively large range compared to the average (which is 31.4 minutes) suggests the student's performance varies quite a bit,  </t>
  </si>
  <si>
    <t xml:space="preserve">       perhaps depending on the difficulty of the puzzle each day.</t>
  </si>
  <si>
    <t>Find the range. How can this help the farmer in planning his packaging?</t>
  </si>
  <si>
    <t>Q6: Range in Action (Medium)</t>
  </si>
  <si>
    <t>A farmer records the weekly weight of harvested apples (kg): [100, 105, 98, 110, 120].</t>
  </si>
  <si>
    <t>120 - 98 = 22kg</t>
  </si>
  <si>
    <r>
      <t>Result:</t>
    </r>
    <r>
      <rPr>
        <sz val="14"/>
        <color theme="1"/>
        <rFont val="Calibri"/>
        <family val="2"/>
        <scheme val="minor"/>
      </rPr>
      <t xml:space="preserve"> The range is </t>
    </r>
    <r>
      <rPr>
        <b/>
        <sz val="14"/>
        <color theme="1"/>
        <rFont val="Calibri"/>
        <family val="2"/>
        <scheme val="minor"/>
      </rPr>
      <t>22 kg</t>
    </r>
  </si>
  <si>
    <t>Packaging Needs: Knowing the spread (22 kg) helps the farmer determine the minimum and maximum number of crates or bags needed each week</t>
  </si>
  <si>
    <t>Planning: It provides a "buffer" for logistics; he knows his worst week was 98 kg and his best was 120 kg, so he should always have enough packaging to handle at least 120 kg.</t>
  </si>
  <si>
    <r>
      <t xml:space="preserve">The range helps the farmer understand the </t>
    </r>
    <r>
      <rPr>
        <b/>
        <sz val="14"/>
        <color theme="1"/>
        <rFont val="Calibri"/>
        <family val="2"/>
        <scheme val="minor"/>
      </rPr>
      <t>variability</t>
    </r>
    <r>
      <rPr>
        <sz val="14"/>
        <color theme="1"/>
        <rFont val="Calibri"/>
        <family val="2"/>
        <scheme val="minor"/>
      </rPr>
      <t xml:space="preserve"> in production:</t>
    </r>
  </si>
  <si>
    <r>
      <rPr>
        <b/>
        <sz val="14"/>
        <color theme="1"/>
        <rFont val="Calibri"/>
        <family val="2"/>
        <scheme val="minor"/>
      </rPr>
      <t>Result</t>
    </r>
    <r>
      <rPr>
        <sz val="14"/>
        <color theme="1"/>
        <rFont val="Calibri"/>
        <family val="2"/>
        <scheme val="minor"/>
      </rPr>
      <t xml:space="preserve"> will be 15</t>
    </r>
  </si>
  <si>
    <t>The range is 22 kg, indicating the variation in weekly apple harvest.</t>
  </si>
  <si>
    <t>This helps the farmer plan appropriate packaging sizes and storage capacity based on fluctuations in yield.</t>
  </si>
  <si>
    <t>Which company is more consistent, and why?</t>
  </si>
  <si>
    <t>Q7: Variance for Decision-Making (Medium)</t>
  </si>
  <si>
    <t>Two delivery companies track delivery delays (in minutes).</t>
  </si>
  <si>
    <t>Company A: variance = 6</t>
  </si>
  <si>
    <t>Company B: variance = 15</t>
  </si>
  <si>
    <t>A</t>
  </si>
  <si>
    <t>Variance</t>
  </si>
  <si>
    <t>Consistency Level</t>
  </si>
  <si>
    <t>More Consistent Company</t>
  </si>
  <si>
    <t>High</t>
  </si>
  <si>
    <t>Low</t>
  </si>
  <si>
    <t>Company A</t>
  </si>
  <si>
    <r>
      <t>Company A:</t>
    </r>
    <r>
      <rPr>
        <sz val="14"/>
        <color theme="1"/>
        <rFont val="Calibri"/>
        <family val="2"/>
        <scheme val="minor"/>
      </rPr>
      <t xml:space="preserve"> variance = 6.</t>
    </r>
  </si>
  <si>
    <r>
      <t>Company B:</t>
    </r>
    <r>
      <rPr>
        <sz val="14"/>
        <color theme="1"/>
        <rFont val="Calibri"/>
        <family val="2"/>
        <scheme val="minor"/>
      </rPr>
      <t xml:space="preserve"> variance = 15.</t>
    </r>
  </si>
  <si>
    <r>
      <rPr>
        <sz val="14"/>
        <color theme="1"/>
        <rFont val="Calibri"/>
        <family val="2"/>
        <scheme val="minor"/>
      </rPr>
      <t>B</t>
    </r>
    <r>
      <rPr>
        <b/>
        <sz val="14"/>
        <color theme="1"/>
        <rFont val="Calibri"/>
        <family val="2"/>
        <scheme val="minor"/>
      </rPr>
      <t xml:space="preserve"> (Company A)</t>
    </r>
  </si>
  <si>
    <r>
      <rPr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 xml:space="preserve"> (Company B)</t>
    </r>
  </si>
  <si>
    <t>Variance measures how much the delivery times vary from the average.</t>
  </si>
  <si>
    <t>Lower variance = more consistency</t>
  </si>
  <si>
    <t>Higher variance = more fluctuation</t>
  </si>
  <si>
    <t>Since Company A has a lower variance (6) compared to Company B (15), Company A is more consistent in delivery times.</t>
  </si>
  <si>
    <t>Company A is more consistent because it has a lower variance, indicating less variation and more reliable delivery performance.</t>
  </si>
  <si>
    <t>Which coin is riskier to invest in, and why?</t>
  </si>
  <si>
    <t>Q8: Standard Deviation in Context (Hard)</t>
  </si>
  <si>
    <t>A finance student compares the daily price fluctuations of two cryptocurrencies.</t>
  </si>
  <si>
    <t>Coin A: standard deviation = $30</t>
  </si>
  <si>
    <t>Coin B: standard deviation = $120</t>
  </si>
  <si>
    <t>A (Description)</t>
  </si>
  <si>
    <t>B (Coin A)</t>
  </si>
  <si>
    <t>C (Coin B)</t>
  </si>
  <si>
    <t>Standard Deviation ($)</t>
  </si>
  <si>
    <t>Price Volatility</t>
  </si>
  <si>
    <t>Investment Risk</t>
  </si>
  <si>
    <t>Lower</t>
  </si>
  <si>
    <t>Higher</t>
  </si>
  <si>
    <t>Riskier Coin</t>
  </si>
  <si>
    <t>Coin B</t>
  </si>
  <si>
    <t>Lower standard deviation → more stable prices</t>
  </si>
  <si>
    <t>Higher standard deviation → more unpredictable prices</t>
  </si>
  <si>
    <t>Standard deviation measures the volatility or risk of price fluctuations.</t>
  </si>
  <si>
    <t>Since Coin B has a much higher standard deviation (120) than Coin A (30), it shows greater price fluctuations.</t>
  </si>
  <si>
    <r>
      <rPr>
        <b/>
        <sz val="14"/>
        <color theme="1"/>
        <rFont val="Calibri"/>
        <family val="2"/>
        <scheme val="minor"/>
      </rPr>
      <t>Coin B</t>
    </r>
    <r>
      <rPr>
        <sz val="14"/>
        <color theme="1"/>
        <rFont val="Calibri"/>
        <family val="2"/>
        <scheme val="minor"/>
      </rPr>
      <t xml:space="preserve"> is riskier to invest in because its higher standard deviation indicates greater volatility and uncertainty in daily price movements.</t>
    </r>
  </si>
  <si>
    <t>A family records their monthly electricity usage (in kWh): [400, 420, 390, 450, 410]</t>
  </si>
  <si>
    <t>Q9: Combining Measures (Hard)</t>
  </si>
  <si>
    <t>Find the mean and standard deviation. What do these values together tell you about the family’s energy use pattern</t>
  </si>
  <si>
    <t>Sum: 400 + 420 + 390 + 450 + 410 = 2070</t>
  </si>
  <si>
    <t>2070 / 5 = 414 kWh</t>
  </si>
  <si>
    <t>2120 / (5-1) = 530</t>
  </si>
  <si>
    <t>Differences: (-14)2, (6)2, (-24)2, (36)2, (-4)2 = 196, 36, 576, 1296, 16</t>
  </si>
  <si>
    <t>Sum of squares: 2120</t>
  </si>
  <si>
    <t>The variance by looking at how far each number is from the mean (414), squaring those differences, and averaging them.</t>
  </si>
  <si>
    <r>
      <t>Standard Deviation 530 =</t>
    </r>
    <r>
      <rPr>
        <b/>
        <sz val="14"/>
        <color theme="1"/>
        <rFont val="Calibri"/>
        <family val="2"/>
        <scheme val="minor"/>
      </rPr>
      <t xml:space="preserve"> 23.02\ kWh</t>
    </r>
  </si>
  <si>
    <r>
      <t>Average Load:</t>
    </r>
    <r>
      <rPr>
        <sz val="14"/>
        <color theme="1"/>
        <rFont val="Calibri"/>
        <family val="2"/>
        <scheme val="minor"/>
      </rPr>
      <t xml:space="preserve"> The mean of 414\ kWh tells the family their "typical" monthly power demand for budgeting purposes. </t>
    </r>
  </si>
  <si>
    <r>
      <t>Consistency:</t>
    </r>
    <r>
      <rPr>
        <sz val="14"/>
        <color theme="1"/>
        <rFont val="Calibri"/>
        <family val="2"/>
        <scheme val="minor"/>
      </rPr>
      <t xml:space="preserve"> The standard deviation of 23\ kWh is relatively low (about 5.5% of the mean).</t>
    </r>
  </si>
  <si>
    <t>Q10: Practical Application (Hard)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</si>
  <si>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</si>
  <si>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</si>
  <si>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MEAN</t>
  </si>
  <si>
    <t>MEDIAN</t>
  </si>
  <si>
    <t>MODE</t>
  </si>
  <si>
    <t>MAX</t>
  </si>
  <si>
    <t>MIN</t>
  </si>
  <si>
    <t>RANGE</t>
  </si>
  <si>
    <t>Std Dev</t>
  </si>
  <si>
    <t>No repeated value</t>
  </si>
  <si>
    <t>FINDINGS</t>
  </si>
  <si>
    <t>or two massive games to inflate their average.</t>
  </si>
  <si>
    <t>performance is predictable.</t>
  </si>
  <si>
    <t>Insights and Performance Analysis :</t>
  </si>
  <si>
    <t>High Consistency: The Standard Deviation (3.11) is quite low relative to the mean, suggesting the player is a "reliable" scorer who rarely has a very "off" night.</t>
  </si>
  <si>
    <t xml:space="preserve">Balanced Distribution: Because the Mean (19.63) and Median (19.5) are almost identical, the scoring distribution is symmetric; the player doesn't rely on one </t>
  </si>
  <si>
    <t>Performance Ceiling/Floor: The Range (10) tells a coach that, at minimum, they can expect about 15 points, and at best, about 25 points from this player.</t>
  </si>
  <si>
    <t xml:space="preserve">Reliability: The lack of a Mode simply indicates a diverse range of scoring outputs, but since the values are clustered closely (low standard deviation), the player's </t>
  </si>
  <si>
    <t>The mean and median are close, indicating consistent scoring performance.</t>
  </si>
  <si>
    <t>The absence of a mode shows no repeated score.</t>
  </si>
  <si>
    <t>The range and standard deviation suggest moderate variation in points.</t>
  </si>
  <si>
    <t>Overall, the player demonstrates stable and reliable scoring 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</si>
</sst>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\✔\ 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2" fontId="4" fillId="2" borderId="2" xfId="0" applyNumberFormat="1" applyFont="1" applyFill="1" applyBorder="1"/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/>
    <xf numFmtId="0" fontId="0" fillId="2" borderId="0" xfId="0" applyFill="1"/>
    <xf numFmtId="0" fontId="0" fillId="3" borderId="0" xfId="0" applyFill="1"/>
    <xf numFmtId="2" fontId="5" fillId="2" borderId="2" xfId="0" applyNumberFormat="1" applyFont="1" applyFill="1" applyBorder="1"/>
    <xf numFmtId="171" fontId="4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1" fillId="3" borderId="0" xfId="0" applyFont="1" applyFill="1"/>
    <xf numFmtId="0" fontId="4" fillId="0" borderId="0" xfId="0" applyFont="1" applyAlignment="1">
      <alignment horizontal="left" vertical="center" indent="1"/>
    </xf>
    <xf numFmtId="171" fontId="0" fillId="0" borderId="0" xfId="0" applyNumberFormat="1"/>
    <xf numFmtId="171" fontId="4" fillId="0" borderId="0" xfId="0" applyNumberFormat="1" applyFont="1" applyAlignment="1">
      <alignment horizontal="left" vertical="center" indent="1"/>
    </xf>
    <xf numFmtId="0" fontId="5" fillId="2" borderId="0" xfId="0" applyFont="1" applyFill="1"/>
    <xf numFmtId="0" fontId="5" fillId="2" borderId="2" xfId="0" applyFont="1" applyFill="1" applyBorder="1"/>
    <xf numFmtId="171" fontId="0" fillId="0" borderId="0" xfId="0" applyNumberFormat="1" applyFont="1"/>
    <xf numFmtId="0" fontId="0" fillId="0" borderId="0" xfId="0" applyFont="1"/>
    <xf numFmtId="0" fontId="4" fillId="4" borderId="0" xfId="0" applyFont="1" applyFill="1"/>
    <xf numFmtId="0" fontId="4" fillId="2" borderId="2" xfId="0" applyFont="1" applyFill="1" applyBorder="1"/>
    <xf numFmtId="0" fontId="5" fillId="4" borderId="0" xfId="0" applyFont="1" applyFill="1"/>
    <xf numFmtId="0" fontId="0" fillId="2" borderId="0" xfId="0" applyFont="1" applyFill="1"/>
    <xf numFmtId="0" fontId="0" fillId="0" borderId="0" xfId="0" applyFill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5" fillId="0" borderId="0" xfId="0" applyFont="1" applyFill="1"/>
    <xf numFmtId="0" fontId="4" fillId="6" borderId="0" xfId="0" applyFont="1" applyFill="1"/>
    <xf numFmtId="0" fontId="0" fillId="6" borderId="0" xfId="0" applyFill="1"/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3" fillId="0" borderId="0" xfId="0" applyFont="1" applyFill="1"/>
    <xf numFmtId="0" fontId="7" fillId="0" borderId="0" xfId="0" applyFont="1"/>
    <xf numFmtId="0" fontId="5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6" borderId="0" xfId="0" applyFont="1" applyFill="1"/>
    <xf numFmtId="0" fontId="5" fillId="8" borderId="1" xfId="0" applyFont="1" applyFill="1" applyBorder="1" applyAlignment="1">
      <alignment horizontal="center" vertical="top" wrapText="1"/>
    </xf>
    <xf numFmtId="2" fontId="5" fillId="6" borderId="0" xfId="0" applyNumberFormat="1" applyFont="1" applyFill="1"/>
    <xf numFmtId="0" fontId="5" fillId="6" borderId="0" xfId="0" applyFont="1" applyFill="1"/>
    <xf numFmtId="0" fontId="1" fillId="0" borderId="0" xfId="0" applyFont="1" applyFill="1"/>
    <xf numFmtId="0" fontId="4" fillId="0" borderId="0" xfId="0" applyFont="1" applyAlignment="1">
      <alignment horizontal="left"/>
    </xf>
    <xf numFmtId="171" fontId="4" fillId="0" borderId="0" xfId="0" applyNumberFormat="1" applyFont="1" applyAlignment="1">
      <alignment horizontal="left"/>
    </xf>
    <xf numFmtId="0" fontId="5" fillId="9" borderId="3" xfId="0" applyFont="1" applyFill="1" applyBorder="1"/>
    <xf numFmtId="2" fontId="5" fillId="9" borderId="3" xfId="0" applyNumberFormat="1" applyFont="1" applyFill="1" applyBorder="1"/>
    <xf numFmtId="0" fontId="5" fillId="9" borderId="1" xfId="0" applyFont="1" applyFill="1" applyBorder="1"/>
    <xf numFmtId="0" fontId="4" fillId="9" borderId="1" xfId="0" applyFont="1" applyFill="1" applyBorder="1" applyAlignment="1">
      <alignment horizontal="center"/>
    </xf>
    <xf numFmtId="2" fontId="5" fillId="9" borderId="1" xfId="0" applyNumberFormat="1" applyFont="1" applyFill="1" applyBorder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1D7A-3C72-4BC5-9070-71F941E4D78F}">
  <dimension ref="A2:R28"/>
  <sheetViews>
    <sheetView tabSelected="1" workbookViewId="0">
      <selection activeCell="G14" sqref="G14"/>
    </sheetView>
  </sheetViews>
  <sheetFormatPr defaultRowHeight="15" x14ac:dyDescent="0.25"/>
  <sheetData>
    <row r="2" spans="1:12" ht="18.75" x14ac:dyDescent="0.3">
      <c r="A2" s="13" t="s">
        <v>0</v>
      </c>
      <c r="B2" s="14"/>
      <c r="C2" s="14"/>
      <c r="D2" s="14"/>
      <c r="E2" s="15"/>
      <c r="F2" s="15"/>
      <c r="G2" s="15"/>
      <c r="H2" s="15"/>
      <c r="I2" s="15"/>
      <c r="J2" s="15"/>
      <c r="K2" s="15"/>
      <c r="L2" s="15"/>
    </row>
    <row r="3" spans="1:12" ht="18.75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</row>
    <row r="4" spans="1:12" ht="18.75" x14ac:dyDescent="0.3">
      <c r="A4" s="13" t="s">
        <v>1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</row>
    <row r="6" spans="1:12" ht="18.75" x14ac:dyDescent="0.3">
      <c r="A6" s="2" t="s">
        <v>3</v>
      </c>
    </row>
    <row r="8" spans="1:12" ht="18.75" x14ac:dyDescent="0.3">
      <c r="B8" s="4" t="s">
        <v>4</v>
      </c>
      <c r="C8" s="3"/>
      <c r="D8" s="3"/>
      <c r="E8" s="3"/>
      <c r="F8" s="3"/>
      <c r="G8" s="3"/>
      <c r="H8" s="3"/>
      <c r="I8" s="3"/>
    </row>
    <row r="9" spans="1:12" ht="18.75" x14ac:dyDescent="0.3">
      <c r="B9" s="3" t="s">
        <v>5</v>
      </c>
      <c r="C9" s="3"/>
      <c r="D9" s="3"/>
      <c r="E9" s="3"/>
      <c r="F9" s="3"/>
      <c r="G9" s="3"/>
      <c r="H9" s="3"/>
      <c r="I9" s="3"/>
    </row>
    <row r="10" spans="1:12" ht="18.75" x14ac:dyDescent="0.3">
      <c r="B10" s="3"/>
      <c r="C10" s="3"/>
      <c r="D10" s="3"/>
      <c r="E10" s="3"/>
      <c r="F10" s="3"/>
      <c r="G10" s="3"/>
      <c r="H10" s="3"/>
      <c r="I10" s="3"/>
    </row>
    <row r="11" spans="1:12" ht="18.75" x14ac:dyDescent="0.3">
      <c r="B11" s="5">
        <v>10</v>
      </c>
      <c r="C11" s="3"/>
      <c r="D11" s="3"/>
      <c r="E11" s="3"/>
      <c r="F11" s="3"/>
      <c r="G11" s="3"/>
      <c r="H11" s="3"/>
      <c r="I11" s="3"/>
    </row>
    <row r="12" spans="1:12" ht="18.75" x14ac:dyDescent="0.3">
      <c r="B12" s="5">
        <v>12</v>
      </c>
      <c r="C12" s="3"/>
      <c r="D12" s="3"/>
      <c r="E12" s="4">
        <f>SUM(B11:B18)</f>
        <v>87</v>
      </c>
      <c r="F12" s="3"/>
      <c r="G12" s="3"/>
      <c r="H12" s="3"/>
      <c r="I12" s="3"/>
    </row>
    <row r="13" spans="1:12" ht="18.75" x14ac:dyDescent="0.3">
      <c r="B13" s="5">
        <v>11</v>
      </c>
      <c r="C13" s="3"/>
      <c r="D13" s="3"/>
      <c r="E13" s="4">
        <f>COUNT(B11:B17)</f>
        <v>7</v>
      </c>
      <c r="F13" s="3"/>
      <c r="G13" s="3"/>
      <c r="H13" s="3"/>
      <c r="I13" s="3"/>
    </row>
    <row r="14" spans="1:12" ht="19.5" thickBot="1" x14ac:dyDescent="0.35">
      <c r="B14" s="5">
        <v>15</v>
      </c>
      <c r="C14" s="3"/>
      <c r="D14" s="3"/>
      <c r="E14" s="3"/>
      <c r="F14" s="3"/>
      <c r="G14" s="3"/>
      <c r="H14" s="3"/>
      <c r="I14" s="3"/>
    </row>
    <row r="15" spans="1:12" ht="19.5" thickBot="1" x14ac:dyDescent="0.35">
      <c r="B15" s="5">
        <v>14</v>
      </c>
      <c r="C15" s="3"/>
      <c r="D15" s="3"/>
      <c r="E15" s="11">
        <f>AVERAGE(B11:B17)</f>
        <v>12.428571428571429</v>
      </c>
      <c r="F15" s="3"/>
      <c r="G15" s="3"/>
      <c r="H15" s="3"/>
      <c r="I15" s="3"/>
    </row>
    <row r="16" spans="1:12" ht="18.75" x14ac:dyDescent="0.3">
      <c r="B16" s="5">
        <v>13</v>
      </c>
      <c r="C16" s="3"/>
      <c r="D16" s="3"/>
      <c r="E16" s="3"/>
      <c r="F16" s="3"/>
      <c r="G16" s="3"/>
      <c r="H16" s="3"/>
      <c r="I16" s="3"/>
    </row>
    <row r="17" spans="1:18" ht="18.75" x14ac:dyDescent="0.3">
      <c r="B17" s="5">
        <v>12</v>
      </c>
      <c r="C17" s="3"/>
      <c r="D17" s="3"/>
      <c r="E17" s="3"/>
      <c r="F17" s="3"/>
      <c r="G17" s="3"/>
      <c r="H17" s="3"/>
      <c r="I17" s="3"/>
    </row>
    <row r="18" spans="1:18" ht="18.75" x14ac:dyDescent="0.3">
      <c r="B18" s="3"/>
      <c r="C18" s="3"/>
      <c r="D18" s="3"/>
      <c r="E18" s="3"/>
      <c r="F18" s="3"/>
      <c r="G18" s="3"/>
      <c r="H18" s="3"/>
      <c r="I18" s="3"/>
    </row>
    <row r="19" spans="1:18" ht="18.75" x14ac:dyDescent="0.3">
      <c r="B19" s="7" t="s">
        <v>6</v>
      </c>
      <c r="C19" s="8"/>
      <c r="D19" s="8"/>
      <c r="E19" s="8"/>
      <c r="F19" s="8"/>
      <c r="G19" s="8"/>
      <c r="H19" s="8"/>
      <c r="I19" s="9"/>
    </row>
    <row r="22" spans="1:18" ht="18.75" x14ac:dyDescent="0.3">
      <c r="A22" s="3" t="s">
        <v>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4" spans="1:18" ht="18.75" x14ac:dyDescent="0.3">
      <c r="A24" s="12" t="s">
        <v>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8" ht="18.75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8" ht="18.75" x14ac:dyDescent="0.3">
      <c r="A26" s="12" t="s">
        <v>10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8" ht="18.75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8" ht="18.75" x14ac:dyDescent="0.3">
      <c r="A28" s="12" t="s">
        <v>9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959E-A750-4E79-8228-50C99B0EC34E}">
  <dimension ref="A2:R23"/>
  <sheetViews>
    <sheetView topLeftCell="A4" workbookViewId="0">
      <selection activeCell="G8" sqref="G8"/>
    </sheetView>
  </sheetViews>
  <sheetFormatPr defaultRowHeight="15" x14ac:dyDescent="0.25"/>
  <sheetData>
    <row r="2" spans="1:11" ht="18.75" x14ac:dyDescent="0.3">
      <c r="A2" s="13" t="s">
        <v>13</v>
      </c>
      <c r="B2" s="14"/>
      <c r="C2" s="14"/>
      <c r="D2" s="14"/>
      <c r="E2" s="14"/>
      <c r="F2" s="14"/>
      <c r="G2" s="14"/>
      <c r="H2" s="14"/>
      <c r="I2" s="10"/>
      <c r="J2" s="10"/>
      <c r="K2" s="10"/>
    </row>
    <row r="3" spans="1:11" ht="18.75" x14ac:dyDescent="0.3">
      <c r="A3" s="13" t="s">
        <v>12</v>
      </c>
      <c r="B3" s="14"/>
      <c r="C3" s="14"/>
      <c r="D3" s="14"/>
      <c r="E3" s="14"/>
      <c r="F3" s="14"/>
      <c r="G3" s="14"/>
      <c r="H3" s="14"/>
      <c r="I3" s="10"/>
      <c r="J3" s="10"/>
      <c r="K3" s="10"/>
    </row>
    <row r="4" spans="1:11" ht="18.75" x14ac:dyDescent="0.3">
      <c r="A4" s="13" t="s">
        <v>11</v>
      </c>
      <c r="B4" s="14"/>
      <c r="C4" s="14"/>
      <c r="D4" s="14"/>
      <c r="E4" s="14"/>
      <c r="F4" s="14"/>
      <c r="G4" s="14"/>
      <c r="H4" s="14"/>
      <c r="I4" s="10"/>
      <c r="J4" s="10"/>
      <c r="K4" s="10"/>
    </row>
    <row r="6" spans="1:11" ht="18.75" x14ac:dyDescent="0.3">
      <c r="A6" s="3" t="s">
        <v>14</v>
      </c>
    </row>
    <row r="7" spans="1:11" ht="18.75" x14ac:dyDescent="0.3">
      <c r="C7" s="3"/>
      <c r="D7" s="3"/>
      <c r="E7" s="3"/>
      <c r="F7" s="3"/>
    </row>
    <row r="8" spans="1:11" ht="18.75" x14ac:dyDescent="0.3">
      <c r="B8" s="3"/>
      <c r="C8" s="3"/>
      <c r="D8" s="3"/>
      <c r="E8" s="3"/>
      <c r="F8" s="3"/>
    </row>
    <row r="9" spans="1:11" ht="18.75" x14ac:dyDescent="0.3">
      <c r="B9" s="5">
        <v>12</v>
      </c>
      <c r="C9" s="3"/>
      <c r="D9" s="3"/>
      <c r="E9" s="3">
        <f>SUM(B9:B15)</f>
        <v>114</v>
      </c>
      <c r="F9" s="3"/>
    </row>
    <row r="10" spans="1:11" ht="18.75" x14ac:dyDescent="0.3">
      <c r="B10" s="5">
        <v>15</v>
      </c>
      <c r="C10" s="3"/>
      <c r="D10" s="3"/>
      <c r="E10" s="3"/>
      <c r="F10" s="3"/>
    </row>
    <row r="11" spans="1:11" ht="18.75" x14ac:dyDescent="0.3">
      <c r="B11" s="5">
        <v>14</v>
      </c>
      <c r="C11" s="3"/>
      <c r="D11" s="3"/>
      <c r="E11" s="3">
        <f>COUNT(B9:B15)</f>
        <v>7</v>
      </c>
      <c r="F11" s="3"/>
    </row>
    <row r="12" spans="1:11" ht="19.5" thickBot="1" x14ac:dyDescent="0.35">
      <c r="B12" s="5">
        <v>16</v>
      </c>
      <c r="C12" s="3"/>
      <c r="D12" s="3"/>
      <c r="E12" s="3"/>
      <c r="F12" s="3"/>
    </row>
    <row r="13" spans="1:11" ht="19.5" thickBot="1" x14ac:dyDescent="0.35">
      <c r="B13" s="5">
        <v>18</v>
      </c>
      <c r="C13" s="3"/>
      <c r="D13" s="3"/>
      <c r="E13" s="6">
        <f>AVERAGE(B9:B15)</f>
        <v>16.285714285714285</v>
      </c>
      <c r="F13" s="3"/>
    </row>
    <row r="14" spans="1:11" ht="18.75" x14ac:dyDescent="0.3">
      <c r="B14" s="5">
        <v>20</v>
      </c>
      <c r="C14" s="3"/>
      <c r="D14" s="3"/>
      <c r="E14" s="3"/>
      <c r="F14" s="3"/>
    </row>
    <row r="15" spans="1:11" ht="18.75" x14ac:dyDescent="0.3">
      <c r="B15" s="5">
        <v>19</v>
      </c>
      <c r="C15" s="3"/>
      <c r="D15" s="3"/>
      <c r="E15" s="3"/>
      <c r="F15" s="3"/>
    </row>
    <row r="16" spans="1:11" ht="18.75" x14ac:dyDescent="0.3">
      <c r="F16" s="3"/>
    </row>
    <row r="17" spans="1:18" ht="18.75" x14ac:dyDescent="0.3">
      <c r="B17" s="19" t="s">
        <v>15</v>
      </c>
      <c r="C17" s="9"/>
      <c r="D17" s="9"/>
      <c r="E17" s="9"/>
      <c r="F17" s="9"/>
      <c r="G17" s="9"/>
    </row>
    <row r="19" spans="1:18" ht="18.75" x14ac:dyDescent="0.3">
      <c r="A19" s="12" t="s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7"/>
      <c r="Q19" s="17"/>
      <c r="R19" s="17"/>
    </row>
    <row r="20" spans="1:18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8.75" x14ac:dyDescent="0.3">
      <c r="A21" s="12" t="s">
        <v>17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8.75" x14ac:dyDescent="0.25">
      <c r="A23" s="18" t="s">
        <v>18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46C7-033E-4519-B61F-21D63F9FFB19}">
  <dimension ref="A2:P20"/>
  <sheetViews>
    <sheetView workbookViewId="0">
      <selection activeCell="A6" sqref="A6"/>
    </sheetView>
  </sheetViews>
  <sheetFormatPr defaultRowHeight="15" x14ac:dyDescent="0.25"/>
  <sheetData>
    <row r="2" spans="1:10" ht="18.75" x14ac:dyDescent="0.3">
      <c r="A2" s="13" t="s">
        <v>19</v>
      </c>
      <c r="B2" s="14"/>
      <c r="C2" s="14"/>
      <c r="D2" s="14"/>
      <c r="E2" s="14"/>
      <c r="F2" s="14"/>
      <c r="G2" s="14"/>
      <c r="H2" s="15"/>
      <c r="I2" s="15"/>
      <c r="J2" s="15"/>
    </row>
    <row r="3" spans="1:10" ht="18.75" x14ac:dyDescent="0.3">
      <c r="A3" s="13" t="s">
        <v>20</v>
      </c>
      <c r="B3" s="14"/>
      <c r="C3" s="14"/>
      <c r="D3" s="14"/>
      <c r="E3" s="14"/>
      <c r="F3" s="14"/>
      <c r="G3" s="14"/>
      <c r="H3" s="15"/>
      <c r="I3" s="15"/>
      <c r="J3" s="15"/>
    </row>
    <row r="4" spans="1:10" ht="18.75" x14ac:dyDescent="0.3">
      <c r="A4" s="13" t="s">
        <v>21</v>
      </c>
      <c r="B4" s="14"/>
      <c r="C4" s="14"/>
      <c r="D4" s="14"/>
      <c r="E4" s="14"/>
      <c r="F4" s="14"/>
      <c r="G4" s="14"/>
      <c r="H4" s="15"/>
      <c r="I4" s="15"/>
      <c r="J4" s="15"/>
    </row>
    <row r="6" spans="1:10" ht="18.75" x14ac:dyDescent="0.3">
      <c r="A6" s="3" t="s">
        <v>14</v>
      </c>
      <c r="C6" s="3"/>
      <c r="D6" s="3"/>
      <c r="E6" s="3"/>
      <c r="F6" s="3"/>
    </row>
    <row r="7" spans="1:10" ht="19.5" thickBot="1" x14ac:dyDescent="0.35">
      <c r="B7" s="3"/>
      <c r="C7" s="3"/>
      <c r="D7" s="3"/>
      <c r="E7" s="3"/>
      <c r="F7" s="3"/>
    </row>
    <row r="8" spans="1:10" ht="19.5" thickBot="1" x14ac:dyDescent="0.35">
      <c r="B8" s="5">
        <v>7</v>
      </c>
      <c r="C8" s="3"/>
      <c r="D8" s="20">
        <f>_xlfn.MODE.SNGL(B8:B15)</f>
        <v>8</v>
      </c>
      <c r="E8" s="3"/>
      <c r="F8" s="3"/>
    </row>
    <row r="9" spans="1:10" ht="18.75" x14ac:dyDescent="0.3">
      <c r="B9" s="5">
        <v>8</v>
      </c>
      <c r="C9" s="3"/>
      <c r="D9" s="3"/>
      <c r="E9" s="3"/>
      <c r="F9" s="3"/>
    </row>
    <row r="10" spans="1:10" ht="18.75" x14ac:dyDescent="0.3">
      <c r="B10" s="5">
        <v>9</v>
      </c>
      <c r="C10" s="3"/>
      <c r="D10" s="3"/>
      <c r="E10" s="3"/>
      <c r="F10" s="3"/>
    </row>
    <row r="11" spans="1:10" ht="18.75" x14ac:dyDescent="0.3">
      <c r="B11" s="5">
        <v>8</v>
      </c>
      <c r="C11" s="3"/>
      <c r="D11" s="19" t="s">
        <v>22</v>
      </c>
      <c r="E11" s="8"/>
      <c r="F11" s="8"/>
    </row>
    <row r="12" spans="1:10" ht="18.75" x14ac:dyDescent="0.3">
      <c r="B12" s="5">
        <v>8</v>
      </c>
      <c r="C12" s="3"/>
      <c r="D12" s="3"/>
      <c r="E12" s="3"/>
      <c r="F12" s="3"/>
    </row>
    <row r="13" spans="1:10" ht="18.75" x14ac:dyDescent="0.3">
      <c r="B13" s="5">
        <v>10</v>
      </c>
      <c r="C13" s="3"/>
      <c r="D13" s="3"/>
      <c r="E13" s="3"/>
      <c r="F13" s="3"/>
    </row>
    <row r="14" spans="1:10" ht="18.75" x14ac:dyDescent="0.3">
      <c r="B14" s="5">
        <v>7</v>
      </c>
      <c r="C14" s="3"/>
      <c r="D14" s="3"/>
      <c r="E14" s="3"/>
      <c r="F14" s="3"/>
    </row>
    <row r="15" spans="1:10" ht="18.75" x14ac:dyDescent="0.3">
      <c r="B15" s="5">
        <v>9</v>
      </c>
      <c r="C15" s="3"/>
      <c r="D15" s="3"/>
      <c r="E15" s="3"/>
      <c r="F15" s="3"/>
    </row>
    <row r="17" spans="1:16" ht="18.75" x14ac:dyDescent="0.3">
      <c r="A17" s="3" t="s">
        <v>23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6" ht="18.7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6" ht="18.75" x14ac:dyDescent="0.3">
      <c r="A19" s="12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21"/>
      <c r="N19" s="21"/>
      <c r="O19" s="21"/>
      <c r="P19" s="22"/>
    </row>
    <row r="20" spans="1:16" ht="18.75" x14ac:dyDescent="0.3">
      <c r="A20" s="12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21"/>
      <c r="N20" s="21"/>
      <c r="O20" s="21"/>
      <c r="P2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1EE1-97F2-4AF0-AAC1-1717D74BF5A3}">
  <dimension ref="A2:S17"/>
  <sheetViews>
    <sheetView workbookViewId="0">
      <selection activeCell="A6" sqref="A6"/>
    </sheetView>
  </sheetViews>
  <sheetFormatPr defaultRowHeight="15" x14ac:dyDescent="0.25"/>
  <sheetData>
    <row r="2" spans="1:19" ht="18.75" x14ac:dyDescent="0.3">
      <c r="A2" s="14" t="s">
        <v>26</v>
      </c>
      <c r="B2" s="14"/>
      <c r="C2" s="14"/>
      <c r="D2" s="14"/>
      <c r="E2" s="14"/>
      <c r="F2" s="14"/>
      <c r="G2" s="14"/>
      <c r="H2" s="14"/>
      <c r="I2" s="14"/>
      <c r="J2" s="10"/>
      <c r="K2" s="10"/>
    </row>
    <row r="3" spans="1:19" ht="18.75" x14ac:dyDescent="0.3">
      <c r="A3" s="13" t="s">
        <v>27</v>
      </c>
      <c r="B3" s="14"/>
      <c r="C3" s="14"/>
      <c r="D3" s="14"/>
      <c r="E3" s="14"/>
      <c r="F3" s="14"/>
      <c r="G3" s="14"/>
      <c r="H3" s="14"/>
      <c r="I3" s="14"/>
      <c r="J3" s="10"/>
      <c r="K3" s="10"/>
    </row>
    <row r="4" spans="1:19" ht="18.75" x14ac:dyDescent="0.3">
      <c r="A4" s="14" t="s">
        <v>28</v>
      </c>
      <c r="B4" s="14"/>
      <c r="C4" s="14"/>
      <c r="D4" s="14"/>
      <c r="E4" s="14"/>
      <c r="F4" s="14"/>
      <c r="G4" s="14"/>
      <c r="H4" s="14"/>
      <c r="I4" s="14"/>
      <c r="J4" s="10"/>
      <c r="K4" s="10"/>
    </row>
    <row r="6" spans="1:19" ht="18.75" x14ac:dyDescent="0.3">
      <c r="A6" s="3" t="s">
        <v>14</v>
      </c>
      <c r="C6" s="3"/>
      <c r="D6" s="3"/>
      <c r="E6" s="3"/>
      <c r="F6" s="3"/>
      <c r="G6" s="3"/>
    </row>
    <row r="7" spans="1:19" ht="18.75" x14ac:dyDescent="0.3">
      <c r="B7" s="3"/>
      <c r="C7" s="3"/>
      <c r="D7" s="3"/>
      <c r="E7" s="3"/>
      <c r="F7" s="3"/>
      <c r="G7" s="3"/>
    </row>
    <row r="8" spans="1:19" ht="18.75" x14ac:dyDescent="0.3">
      <c r="B8" s="5">
        <v>8000</v>
      </c>
      <c r="C8" s="3"/>
      <c r="D8" s="19">
        <f>MEDIAN(B8:B12)</f>
        <v>10200</v>
      </c>
      <c r="E8" s="3"/>
      <c r="F8" s="3"/>
      <c r="G8" s="3"/>
    </row>
    <row r="9" spans="1:19" ht="18.75" x14ac:dyDescent="0.3">
      <c r="B9" s="5">
        <v>9500</v>
      </c>
      <c r="C9" s="3"/>
      <c r="D9" s="3"/>
      <c r="E9" s="3"/>
      <c r="F9" s="3"/>
      <c r="G9" s="3"/>
    </row>
    <row r="10" spans="1:19" ht="18.75" x14ac:dyDescent="0.3">
      <c r="B10" s="5">
        <v>10200</v>
      </c>
      <c r="C10" s="3"/>
      <c r="D10" s="19" t="s">
        <v>29</v>
      </c>
      <c r="E10" s="8"/>
      <c r="F10" s="8"/>
      <c r="G10" s="8"/>
    </row>
    <row r="11" spans="1:19" ht="18.75" x14ac:dyDescent="0.3">
      <c r="B11" s="5">
        <v>11000</v>
      </c>
      <c r="C11" s="3"/>
      <c r="D11" s="3"/>
      <c r="E11" s="3"/>
      <c r="F11" s="3"/>
      <c r="G11" s="3"/>
    </row>
    <row r="12" spans="1:19" ht="18.75" x14ac:dyDescent="0.3">
      <c r="B12" s="5">
        <v>50000</v>
      </c>
      <c r="C12" s="3"/>
      <c r="D12" s="3"/>
      <c r="E12" s="3"/>
      <c r="F12" s="3"/>
      <c r="G12" s="3"/>
    </row>
    <row r="14" spans="1:19" ht="18.75" x14ac:dyDescent="0.3">
      <c r="A14" s="4" t="s">
        <v>32</v>
      </c>
      <c r="B14" s="4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9" ht="18.7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9" ht="18.75" x14ac:dyDescent="0.3">
      <c r="A16" s="12" t="s">
        <v>30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21"/>
      <c r="Q16" s="21"/>
      <c r="R16" s="21"/>
      <c r="S16" s="22"/>
    </row>
    <row r="17" spans="1:19" ht="18.75" x14ac:dyDescent="0.3">
      <c r="A17" s="12" t="s">
        <v>31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21"/>
      <c r="Q17" s="21"/>
      <c r="R17" s="21"/>
      <c r="S1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EFF6-17A0-4373-B4C6-91F666F3B3AF}">
  <dimension ref="A2:R18"/>
  <sheetViews>
    <sheetView workbookViewId="0">
      <selection activeCell="A6" sqref="A6"/>
    </sheetView>
  </sheetViews>
  <sheetFormatPr defaultRowHeight="15" x14ac:dyDescent="0.25"/>
  <cols>
    <col min="7" max="7" width="9.85546875" customWidth="1"/>
  </cols>
  <sheetData>
    <row r="2" spans="1:18" ht="18.75" x14ac:dyDescent="0.3">
      <c r="A2" s="13" t="s">
        <v>33</v>
      </c>
      <c r="B2" s="14"/>
      <c r="C2" s="14"/>
      <c r="D2" s="14"/>
      <c r="E2" s="14"/>
      <c r="F2" s="14"/>
      <c r="G2" s="14"/>
      <c r="H2" s="14"/>
      <c r="I2" s="10"/>
      <c r="J2" s="10"/>
      <c r="K2" s="10"/>
    </row>
    <row r="3" spans="1:18" ht="18.75" x14ac:dyDescent="0.3">
      <c r="A3" s="13" t="s">
        <v>34</v>
      </c>
      <c r="B3" s="14"/>
      <c r="C3" s="14"/>
      <c r="D3" s="14"/>
      <c r="E3" s="14"/>
      <c r="F3" s="14"/>
      <c r="G3" s="14"/>
      <c r="H3" s="14"/>
      <c r="I3" s="10"/>
      <c r="J3" s="10"/>
      <c r="K3" s="10"/>
    </row>
    <row r="4" spans="1:18" ht="18.75" x14ac:dyDescent="0.3">
      <c r="A4" s="13" t="s">
        <v>35</v>
      </c>
      <c r="B4" s="14"/>
      <c r="C4" s="14"/>
      <c r="D4" s="14"/>
      <c r="E4" s="14"/>
      <c r="F4" s="14"/>
      <c r="G4" s="14"/>
      <c r="H4" s="14"/>
      <c r="I4" s="10"/>
      <c r="J4" s="10"/>
      <c r="K4" s="10"/>
    </row>
    <row r="6" spans="1:18" ht="18.75" x14ac:dyDescent="0.3">
      <c r="A6" s="3" t="s">
        <v>14</v>
      </c>
      <c r="C6" s="3"/>
      <c r="D6" s="3"/>
    </row>
    <row r="7" spans="1:18" ht="18.75" x14ac:dyDescent="0.3">
      <c r="B7" s="3"/>
      <c r="C7" s="3"/>
      <c r="D7" s="3"/>
    </row>
    <row r="8" spans="1:18" ht="18.75" x14ac:dyDescent="0.3">
      <c r="B8" s="5">
        <v>25</v>
      </c>
      <c r="C8" s="3"/>
      <c r="D8" s="23">
        <f>MAX(B8:B12)</f>
        <v>40</v>
      </c>
    </row>
    <row r="9" spans="1:18" ht="18.75" x14ac:dyDescent="0.3">
      <c r="B9" s="5">
        <v>30</v>
      </c>
      <c r="C9" s="3"/>
      <c r="D9" s="3"/>
    </row>
    <row r="10" spans="1:18" ht="18.75" x14ac:dyDescent="0.3">
      <c r="B10" s="5">
        <v>27</v>
      </c>
      <c r="C10" s="3"/>
      <c r="D10" s="23">
        <f>MIN(B8:B12)</f>
        <v>25</v>
      </c>
    </row>
    <row r="11" spans="1:18" ht="19.5" thickBot="1" x14ac:dyDescent="0.35">
      <c r="B11" s="5">
        <v>35</v>
      </c>
      <c r="C11" s="3"/>
      <c r="D11" s="3"/>
    </row>
    <row r="12" spans="1:18" ht="19.5" thickBot="1" x14ac:dyDescent="0.35">
      <c r="B12" s="5">
        <v>40</v>
      </c>
      <c r="C12" s="3"/>
      <c r="D12" s="24">
        <f>MAX(B8:B12)-MIN(B8:B12)</f>
        <v>15</v>
      </c>
      <c r="F12" s="8" t="s">
        <v>48</v>
      </c>
      <c r="G12" s="8"/>
    </row>
    <row r="13" spans="1:18" ht="18.75" x14ac:dyDescent="0.3">
      <c r="B13" s="3"/>
      <c r="C13" s="3"/>
      <c r="D13" s="3"/>
    </row>
    <row r="14" spans="1:18" ht="18.75" x14ac:dyDescent="0.3">
      <c r="B14" s="3" t="s">
        <v>36</v>
      </c>
      <c r="C14" s="3"/>
      <c r="D14" s="3"/>
    </row>
    <row r="16" spans="1:18" ht="18.75" x14ac:dyDescent="0.3">
      <c r="A16" s="12" t="s">
        <v>37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3"/>
      <c r="O16" s="22"/>
      <c r="P16" s="22"/>
      <c r="Q16" s="22"/>
      <c r="R16" s="22"/>
    </row>
    <row r="17" spans="1:18" ht="18.75" x14ac:dyDescent="0.3">
      <c r="A17" s="12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2"/>
      <c r="P17" s="22"/>
      <c r="Q17" s="22"/>
      <c r="R17" s="22"/>
    </row>
    <row r="18" spans="1:18" ht="18.75" x14ac:dyDescent="0.3">
      <c r="A18" s="3" t="s">
        <v>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2"/>
      <c r="P18" s="22"/>
      <c r="Q18" s="22"/>
      <c r="R18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1F-0AFA-4A74-9A23-DEA1803A41BB}">
  <dimension ref="A2:Q23"/>
  <sheetViews>
    <sheetView workbookViewId="0">
      <selection activeCell="A6" sqref="A6"/>
    </sheetView>
  </sheetViews>
  <sheetFormatPr defaultRowHeight="15" x14ac:dyDescent="0.25"/>
  <sheetData>
    <row r="2" spans="1:11" ht="18.75" x14ac:dyDescent="0.3">
      <c r="A2" s="13" t="s">
        <v>41</v>
      </c>
      <c r="B2" s="14"/>
      <c r="C2" s="14"/>
      <c r="D2" s="14"/>
      <c r="E2" s="14"/>
      <c r="F2" s="14"/>
      <c r="G2" s="14"/>
      <c r="H2" s="14"/>
      <c r="I2" s="10"/>
      <c r="J2" s="10"/>
      <c r="K2" s="10"/>
    </row>
    <row r="3" spans="1:11" ht="18.75" x14ac:dyDescent="0.3">
      <c r="A3" s="13" t="s">
        <v>42</v>
      </c>
      <c r="B3" s="14"/>
      <c r="C3" s="14"/>
      <c r="D3" s="14"/>
      <c r="E3" s="14"/>
      <c r="F3" s="14"/>
      <c r="G3" s="14"/>
      <c r="H3" s="14"/>
      <c r="I3" s="10"/>
      <c r="J3" s="10"/>
      <c r="K3" s="10"/>
    </row>
    <row r="4" spans="1:11" ht="18.75" x14ac:dyDescent="0.3">
      <c r="A4" s="13" t="s">
        <v>40</v>
      </c>
      <c r="B4" s="14"/>
      <c r="C4" s="14"/>
      <c r="D4" s="14"/>
      <c r="E4" s="14"/>
      <c r="F4" s="14"/>
      <c r="G4" s="14"/>
      <c r="H4" s="14"/>
      <c r="I4" s="10"/>
      <c r="J4" s="10"/>
      <c r="K4" s="10"/>
    </row>
    <row r="6" spans="1:11" ht="18.75" x14ac:dyDescent="0.3">
      <c r="A6" s="3" t="s">
        <v>14</v>
      </c>
      <c r="C6" s="3"/>
      <c r="D6" s="3"/>
    </row>
    <row r="7" spans="1:11" ht="18.75" x14ac:dyDescent="0.3">
      <c r="B7" s="3"/>
      <c r="C7" s="3"/>
      <c r="D7" s="3"/>
    </row>
    <row r="8" spans="1:11" ht="18.75" x14ac:dyDescent="0.3">
      <c r="B8" s="5">
        <v>100</v>
      </c>
      <c r="C8" s="3"/>
      <c r="D8" s="23">
        <f>MAX(B8:B12)</f>
        <v>120</v>
      </c>
    </row>
    <row r="9" spans="1:11" ht="18.75" x14ac:dyDescent="0.3">
      <c r="B9" s="5">
        <v>105</v>
      </c>
      <c r="C9" s="3"/>
      <c r="D9" s="3"/>
    </row>
    <row r="10" spans="1:11" ht="18.75" x14ac:dyDescent="0.3">
      <c r="B10" s="5">
        <v>98</v>
      </c>
      <c r="C10" s="3"/>
      <c r="D10" s="23">
        <f>MIN(B8:B11)</f>
        <v>98</v>
      </c>
    </row>
    <row r="11" spans="1:11" ht="18.75" x14ac:dyDescent="0.3">
      <c r="B11" s="5">
        <v>110</v>
      </c>
      <c r="C11" s="3"/>
      <c r="D11" s="3"/>
    </row>
    <row r="12" spans="1:11" ht="18.75" x14ac:dyDescent="0.3">
      <c r="B12" s="5">
        <v>120</v>
      </c>
      <c r="C12" s="3"/>
      <c r="D12" s="19">
        <f>MAX(B8:B12)-MIN(B8:B12)</f>
        <v>22</v>
      </c>
    </row>
    <row r="14" spans="1:11" ht="18.75" x14ac:dyDescent="0.3">
      <c r="B14" s="3" t="s">
        <v>43</v>
      </c>
      <c r="C14" s="3"/>
    </row>
    <row r="15" spans="1:11" ht="18.75" x14ac:dyDescent="0.3">
      <c r="B15" s="19" t="s">
        <v>44</v>
      </c>
      <c r="C15" s="26"/>
      <c r="D15" s="26"/>
      <c r="E15" s="26"/>
    </row>
    <row r="17" spans="1:17" ht="18.75" x14ac:dyDescent="0.3">
      <c r="A17" s="3" t="s">
        <v>47</v>
      </c>
      <c r="B17" s="3"/>
      <c r="C17" s="3"/>
      <c r="D17" s="3"/>
      <c r="E17" s="3"/>
      <c r="F17" s="3"/>
      <c r="G17" s="3"/>
    </row>
    <row r="19" spans="1:17" ht="18.75" x14ac:dyDescent="0.3">
      <c r="A19" s="12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8.75" x14ac:dyDescent="0.3">
      <c r="A20" s="12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2" spans="1:17" ht="18.75" x14ac:dyDescent="0.3">
      <c r="A22" s="3" t="s">
        <v>49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22"/>
      <c r="M22" s="22"/>
    </row>
    <row r="23" spans="1:17" ht="18.75" x14ac:dyDescent="0.3">
      <c r="A23" s="3" t="s">
        <v>50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2"/>
      <c r="M23" s="22"/>
    </row>
  </sheetData>
  <pageMargins left="0.7" right="0.7" top="0.75" bottom="0.75" header="0.3" footer="0.3"/>
  <ignoredErrors>
    <ignoredError sqref="D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8E4B-8C55-4FF4-866E-5D88857AB74C}">
  <dimension ref="A2:L25"/>
  <sheetViews>
    <sheetView workbookViewId="0">
      <selection activeCell="D8" sqref="D8"/>
    </sheetView>
  </sheetViews>
  <sheetFormatPr defaultRowHeight="15" x14ac:dyDescent="0.25"/>
  <cols>
    <col min="2" max="2" width="31.42578125" customWidth="1"/>
    <col min="3" max="3" width="18" customWidth="1"/>
    <col min="4" max="4" width="19.140625" customWidth="1"/>
  </cols>
  <sheetData>
    <row r="2" spans="1:8" ht="18.75" x14ac:dyDescent="0.3">
      <c r="A2" s="13" t="s">
        <v>52</v>
      </c>
      <c r="B2" s="14"/>
      <c r="C2" s="14"/>
      <c r="D2" s="14"/>
      <c r="E2" s="32"/>
      <c r="F2" s="27"/>
      <c r="G2" s="27"/>
      <c r="H2" s="27"/>
    </row>
    <row r="3" spans="1:8" ht="18.75" x14ac:dyDescent="0.3">
      <c r="A3" s="13" t="s">
        <v>53</v>
      </c>
      <c r="B3" s="14"/>
      <c r="C3" s="14"/>
      <c r="D3" s="14"/>
      <c r="E3" s="32"/>
      <c r="F3" s="27"/>
      <c r="G3" s="27"/>
      <c r="H3" s="27"/>
    </row>
    <row r="4" spans="1:8" ht="18.75" x14ac:dyDescent="0.3">
      <c r="A4" s="13" t="s">
        <v>54</v>
      </c>
      <c r="B4" s="14"/>
      <c r="C4" s="14"/>
      <c r="D4" s="14"/>
      <c r="E4" s="32"/>
      <c r="F4" s="27"/>
      <c r="G4" s="27"/>
      <c r="H4" s="27"/>
    </row>
    <row r="5" spans="1:8" ht="18.75" x14ac:dyDescent="0.3">
      <c r="A5" s="13" t="s">
        <v>55</v>
      </c>
      <c r="B5" s="14"/>
      <c r="C5" s="14"/>
      <c r="D5" s="14"/>
      <c r="E5" s="32"/>
      <c r="F5" s="27"/>
      <c r="G5" s="27"/>
      <c r="H5" s="27"/>
    </row>
    <row r="6" spans="1:8" ht="18.75" x14ac:dyDescent="0.3">
      <c r="A6" s="13" t="s">
        <v>51</v>
      </c>
      <c r="B6" s="14"/>
      <c r="C6" s="14"/>
      <c r="D6" s="14"/>
      <c r="E6" s="32"/>
      <c r="F6" s="27"/>
      <c r="G6" s="27"/>
      <c r="H6" s="27"/>
    </row>
    <row r="8" spans="1:8" ht="18.75" x14ac:dyDescent="0.3">
      <c r="A8" s="3" t="s">
        <v>14</v>
      </c>
    </row>
    <row r="9" spans="1:8" ht="18.75" x14ac:dyDescent="0.3">
      <c r="B9" s="28" t="s">
        <v>63</v>
      </c>
      <c r="C9" s="3"/>
      <c r="D9" s="3"/>
    </row>
    <row r="10" spans="1:8" ht="18.75" x14ac:dyDescent="0.3">
      <c r="B10" s="29"/>
      <c r="C10" s="3"/>
      <c r="D10" s="3"/>
    </row>
    <row r="11" spans="1:8" ht="18.75" x14ac:dyDescent="0.3">
      <c r="B11" s="28" t="s">
        <v>64</v>
      </c>
      <c r="C11" s="3"/>
      <c r="D11" s="3"/>
    </row>
    <row r="12" spans="1:8" ht="18.75" x14ac:dyDescent="0.3">
      <c r="B12" s="3"/>
      <c r="C12" s="3"/>
      <c r="D12" s="3"/>
    </row>
    <row r="13" spans="1:8" ht="18.75" x14ac:dyDescent="0.3">
      <c r="B13" s="36" t="s">
        <v>56</v>
      </c>
      <c r="C13" s="37" t="s">
        <v>65</v>
      </c>
      <c r="D13" s="37" t="s">
        <v>66</v>
      </c>
    </row>
    <row r="14" spans="1:8" ht="18.75" x14ac:dyDescent="0.3">
      <c r="B14" s="5" t="s">
        <v>57</v>
      </c>
      <c r="C14" s="30">
        <v>6</v>
      </c>
      <c r="D14" s="30">
        <v>15</v>
      </c>
    </row>
    <row r="15" spans="1:8" ht="18.75" x14ac:dyDescent="0.3">
      <c r="B15" s="31" t="s">
        <v>58</v>
      </c>
      <c r="C15" s="35" t="s">
        <v>60</v>
      </c>
      <c r="D15" s="30" t="s">
        <v>61</v>
      </c>
    </row>
    <row r="16" spans="1:8" ht="18.75" x14ac:dyDescent="0.3">
      <c r="B16" s="5" t="s">
        <v>59</v>
      </c>
      <c r="C16" s="35" t="s">
        <v>62</v>
      </c>
      <c r="D16" s="30"/>
    </row>
    <row r="18" spans="2:12" ht="18.75" x14ac:dyDescent="0.3">
      <c r="B18" s="3" t="s">
        <v>67</v>
      </c>
      <c r="C18" s="3"/>
      <c r="D18" s="3"/>
    </row>
    <row r="20" spans="2:12" ht="18.75" x14ac:dyDescent="0.3">
      <c r="B20" s="3" t="s">
        <v>68</v>
      </c>
      <c r="C20" s="22"/>
    </row>
    <row r="21" spans="2:12" ht="18.75" x14ac:dyDescent="0.3">
      <c r="B21" s="3" t="s">
        <v>69</v>
      </c>
      <c r="C21" s="22"/>
    </row>
    <row r="23" spans="2:12" ht="18.75" x14ac:dyDescent="0.3">
      <c r="B23" s="3" t="s">
        <v>70</v>
      </c>
      <c r="C23" s="3"/>
      <c r="D23" s="3"/>
      <c r="E23" s="3"/>
      <c r="F23" s="3"/>
      <c r="G23" s="3"/>
      <c r="H23" s="3"/>
    </row>
    <row r="25" spans="2:12" ht="18.75" x14ac:dyDescent="0.3">
      <c r="B25" s="33" t="s">
        <v>71</v>
      </c>
      <c r="C25" s="33"/>
      <c r="D25" s="33"/>
      <c r="E25" s="33"/>
      <c r="F25" s="33"/>
      <c r="G25" s="33"/>
      <c r="H25" s="33"/>
      <c r="I25" s="33"/>
      <c r="J25" s="34"/>
      <c r="K25" s="34"/>
      <c r="L25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ADA5-1D29-4BA0-9489-9066807B7DE2}">
  <dimension ref="A2:CY365"/>
  <sheetViews>
    <sheetView workbookViewId="0">
      <selection activeCell="D13" sqref="D13"/>
    </sheetView>
  </sheetViews>
  <sheetFormatPr defaultRowHeight="15" x14ac:dyDescent="0.25"/>
  <cols>
    <col min="2" max="2" width="34.5703125" customWidth="1"/>
    <col min="3" max="3" width="18.28515625" customWidth="1"/>
    <col min="4" max="4" width="18.140625" customWidth="1"/>
  </cols>
  <sheetData>
    <row r="2" spans="1:103" ht="18.75" x14ac:dyDescent="0.3">
      <c r="A2" s="13" t="s">
        <v>73</v>
      </c>
      <c r="B2" s="14"/>
      <c r="C2" s="14"/>
      <c r="D2" s="14"/>
      <c r="E2" s="14"/>
      <c r="F2" s="14"/>
      <c r="G2" s="32"/>
      <c r="H2" s="27"/>
      <c r="I2" s="27"/>
      <c r="J2" s="27"/>
    </row>
    <row r="3" spans="1:103" ht="18.75" x14ac:dyDescent="0.3">
      <c r="A3" s="13" t="s">
        <v>74</v>
      </c>
      <c r="B3" s="14"/>
      <c r="C3" s="14"/>
      <c r="D3" s="14"/>
      <c r="E3" s="14"/>
      <c r="F3" s="14"/>
      <c r="G3" s="32"/>
      <c r="H3" s="27"/>
      <c r="I3" s="27"/>
      <c r="J3" s="27"/>
    </row>
    <row r="4" spans="1:103" ht="18.75" x14ac:dyDescent="0.3">
      <c r="A4" s="13" t="s">
        <v>75</v>
      </c>
      <c r="B4" s="14"/>
      <c r="C4" s="14"/>
      <c r="D4" s="14"/>
      <c r="E4" s="14"/>
      <c r="F4" s="14"/>
      <c r="G4" s="32"/>
      <c r="H4" s="27"/>
      <c r="I4" s="27"/>
      <c r="J4" s="27"/>
    </row>
    <row r="5" spans="1:103" ht="18.75" x14ac:dyDescent="0.3">
      <c r="A5" s="13" t="s">
        <v>76</v>
      </c>
      <c r="B5" s="14"/>
      <c r="C5" s="14"/>
      <c r="D5" s="14"/>
      <c r="E5" s="14"/>
      <c r="F5" s="14"/>
      <c r="G5" s="32"/>
      <c r="H5" s="27"/>
      <c r="I5" s="27"/>
      <c r="J5" s="27"/>
    </row>
    <row r="6" spans="1:103" ht="18.75" x14ac:dyDescent="0.3">
      <c r="A6" s="13" t="s">
        <v>72</v>
      </c>
      <c r="B6" s="14"/>
      <c r="C6" s="14"/>
      <c r="D6" s="14"/>
      <c r="E6" s="14"/>
      <c r="F6" s="14"/>
      <c r="G6" s="32"/>
      <c r="H6" s="27"/>
      <c r="I6" s="27"/>
      <c r="J6" s="27"/>
    </row>
    <row r="8" spans="1:103" ht="18.75" x14ac:dyDescent="0.3">
      <c r="A8" s="38" t="s">
        <v>14</v>
      </c>
    </row>
    <row r="9" spans="1:103" ht="18.75" x14ac:dyDescent="0.3">
      <c r="A9" s="39"/>
      <c r="B9" s="40" t="s">
        <v>77</v>
      </c>
      <c r="C9" s="40" t="s">
        <v>78</v>
      </c>
      <c r="D9" s="40" t="s">
        <v>79</v>
      </c>
      <c r="E9" s="3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</row>
    <row r="10" spans="1:103" ht="18.75" x14ac:dyDescent="0.3">
      <c r="A10" s="39"/>
      <c r="B10" s="41" t="s">
        <v>80</v>
      </c>
      <c r="C10" s="41">
        <v>30</v>
      </c>
      <c r="D10" s="41">
        <v>120</v>
      </c>
      <c r="E10" s="3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</row>
    <row r="11" spans="1:103" ht="18.75" x14ac:dyDescent="0.3">
      <c r="A11" s="39"/>
      <c r="B11" s="41" t="s">
        <v>81</v>
      </c>
      <c r="C11" s="41" t="s">
        <v>61</v>
      </c>
      <c r="D11" s="41" t="s">
        <v>60</v>
      </c>
      <c r="E11" s="3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</row>
    <row r="12" spans="1:103" ht="18.75" x14ac:dyDescent="0.25">
      <c r="A12" s="39"/>
      <c r="B12" s="41" t="s">
        <v>82</v>
      </c>
      <c r="C12" s="41" t="s">
        <v>83</v>
      </c>
      <c r="D12" s="41" t="s">
        <v>84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</row>
    <row r="13" spans="1:103" ht="18.75" x14ac:dyDescent="0.25">
      <c r="A13" s="39"/>
      <c r="B13" s="41" t="s">
        <v>85</v>
      </c>
      <c r="C13" s="41"/>
      <c r="D13" s="43" t="s">
        <v>86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</row>
    <row r="14" spans="1:103" ht="15.75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</row>
    <row r="15" spans="1:103" ht="18.75" x14ac:dyDescent="0.3">
      <c r="A15" s="39"/>
      <c r="B15" s="3" t="s">
        <v>89</v>
      </c>
      <c r="C15" s="3"/>
      <c r="D15" s="3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</row>
    <row r="16" spans="1:103" ht="18.75" x14ac:dyDescent="0.3">
      <c r="A16" s="39"/>
      <c r="B16" s="16"/>
      <c r="C16" s="3"/>
      <c r="D16" s="3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</row>
    <row r="17" spans="1:103" ht="18.75" x14ac:dyDescent="0.3">
      <c r="A17" s="39"/>
      <c r="B17" s="16" t="s">
        <v>87</v>
      </c>
      <c r="C17" s="3"/>
      <c r="D17" s="3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</row>
    <row r="18" spans="1:103" ht="18.75" x14ac:dyDescent="0.3">
      <c r="A18" s="39"/>
      <c r="B18" s="16" t="s">
        <v>88</v>
      </c>
      <c r="C18" s="3"/>
      <c r="D18" s="3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</row>
    <row r="19" spans="1:103" ht="15.75" x14ac:dyDescent="0.25">
      <c r="A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</row>
    <row r="20" spans="1:103" ht="18.75" x14ac:dyDescent="0.3">
      <c r="A20" s="39"/>
      <c r="B20" s="3" t="s">
        <v>90</v>
      </c>
      <c r="C20" s="3"/>
      <c r="D20" s="3"/>
      <c r="E20" s="3"/>
      <c r="F20" s="3"/>
      <c r="G20" s="3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</row>
    <row r="21" spans="1:103" ht="15.75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</row>
    <row r="22" spans="1:103" ht="18.75" x14ac:dyDescent="0.3">
      <c r="A22" s="39"/>
      <c r="B22" s="33" t="s">
        <v>91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</row>
    <row r="23" spans="1:103" ht="15.75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</row>
    <row r="24" spans="1:103" ht="15.75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</row>
    <row r="25" spans="1:103" ht="15.75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</row>
    <row r="26" spans="1:103" ht="15.75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</row>
    <row r="27" spans="1:103" ht="15.75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</row>
    <row r="28" spans="1:103" ht="15.75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</row>
    <row r="29" spans="1:103" ht="15.75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</row>
    <row r="30" spans="1:103" ht="15.75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</row>
    <row r="31" spans="1:103" ht="15.75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</row>
    <row r="32" spans="1:103" ht="15.75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</row>
    <row r="33" spans="1:103" ht="15.75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</row>
    <row r="34" spans="1:103" ht="15.75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</row>
    <row r="35" spans="1:103" ht="15.75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</row>
    <row r="36" spans="1:103" ht="15.75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</row>
    <row r="37" spans="1:103" ht="15.75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</row>
    <row r="38" spans="1:103" ht="15.75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</row>
    <row r="39" spans="1:103" ht="15.75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</row>
    <row r="40" spans="1:103" ht="15.75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</row>
    <row r="41" spans="1:103" ht="15.75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</row>
    <row r="42" spans="1:103" ht="15.75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</row>
    <row r="43" spans="1:103" ht="15.75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</row>
    <row r="44" spans="1:103" ht="15.75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</row>
    <row r="45" spans="1:103" ht="15.75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</row>
    <row r="46" spans="1:103" ht="15.75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</row>
    <row r="47" spans="1:103" ht="15.75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</row>
    <row r="48" spans="1:103" ht="15.75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</row>
    <row r="49" spans="1:103" ht="15.75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</row>
    <row r="50" spans="1:103" ht="15.75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</row>
    <row r="51" spans="1:103" ht="15.75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</row>
    <row r="52" spans="1:103" ht="15.75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</row>
    <row r="53" spans="1:103" ht="15.75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</row>
    <row r="54" spans="1:103" ht="15.75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</row>
    <row r="55" spans="1:103" ht="15.75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</row>
    <row r="56" spans="1:103" ht="15.75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</row>
    <row r="57" spans="1:103" ht="15.75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</row>
    <row r="58" spans="1:103" ht="15.75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</row>
    <row r="59" spans="1:103" ht="15.75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</row>
    <row r="60" spans="1:103" ht="15.75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</row>
    <row r="61" spans="1:103" ht="15.75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</row>
    <row r="62" spans="1:103" ht="15.75" x14ac:dyDescent="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</row>
    <row r="63" spans="1:103" ht="15.75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</row>
    <row r="64" spans="1:103" ht="15.75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</row>
    <row r="65" spans="1:103" ht="15.75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</row>
    <row r="66" spans="1:103" ht="15.75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</row>
    <row r="67" spans="1:103" ht="15.75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</row>
    <row r="68" spans="1:103" ht="15.75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</row>
    <row r="69" spans="1:103" ht="15.75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</row>
    <row r="70" spans="1:103" ht="15.75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</row>
    <row r="71" spans="1:103" ht="15.75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</row>
    <row r="72" spans="1:103" ht="15.75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</row>
    <row r="73" spans="1:103" ht="15.75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</row>
    <row r="74" spans="1:103" ht="15.75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</row>
    <row r="75" spans="1:103" ht="15.75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</row>
    <row r="76" spans="1:103" ht="15.75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</row>
    <row r="77" spans="1:103" ht="15.75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</row>
    <row r="78" spans="1:103" ht="15.75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</row>
    <row r="79" spans="1:103" ht="15.75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</row>
    <row r="80" spans="1:103" ht="15.75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</row>
    <row r="81" spans="1:103" ht="15.75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</row>
    <row r="82" spans="1:103" ht="15.75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</row>
    <row r="83" spans="1:103" ht="15.75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</row>
    <row r="84" spans="1:103" ht="15.75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</row>
    <row r="85" spans="1:103" ht="15.75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</row>
    <row r="86" spans="1:103" ht="15.75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</row>
    <row r="87" spans="1:103" ht="15.75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</row>
    <row r="88" spans="1:103" ht="15.75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</row>
    <row r="89" spans="1:103" ht="15.75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</row>
    <row r="90" spans="1:103" ht="15.75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</row>
    <row r="91" spans="1:103" ht="15.75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</row>
    <row r="92" spans="1:103" ht="15.75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</row>
    <row r="93" spans="1:103" ht="15.75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</row>
    <row r="94" spans="1:103" ht="15.75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</row>
    <row r="95" spans="1:103" ht="15.75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</row>
    <row r="96" spans="1:103" ht="15.75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</row>
    <row r="97" spans="1:103" ht="15.75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</row>
    <row r="98" spans="1:103" ht="15.75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</row>
    <row r="99" spans="1:103" ht="15.75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</row>
    <row r="100" spans="1:103" ht="15.75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</row>
    <row r="101" spans="1:103" ht="15.75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</row>
    <row r="102" spans="1:103" ht="15.75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</row>
    <row r="103" spans="1:103" ht="15.75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</row>
    <row r="104" spans="1:103" ht="15.75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</row>
    <row r="105" spans="1:103" ht="15.75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</row>
    <row r="106" spans="1:103" ht="15.75" x14ac:dyDescent="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</row>
    <row r="107" spans="1:103" ht="15.75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</row>
    <row r="108" spans="1:103" ht="15.75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</row>
    <row r="109" spans="1:103" ht="15.75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</row>
    <row r="110" spans="1:103" ht="15.75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</row>
    <row r="111" spans="1:103" ht="15.75" x14ac:dyDescent="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</row>
    <row r="112" spans="1:103" ht="15.75" x14ac:dyDescent="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</row>
    <row r="113" spans="1:103" ht="15.75" x14ac:dyDescent="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</row>
    <row r="114" spans="1:103" ht="15.75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</row>
    <row r="115" spans="1:103" ht="15.75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</row>
    <row r="116" spans="1:103" ht="15.75" x14ac:dyDescent="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</row>
    <row r="117" spans="1:103" ht="15.75" x14ac:dyDescent="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</row>
    <row r="118" spans="1:103" ht="15.75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</row>
    <row r="119" spans="1:103" ht="15.75" x14ac:dyDescent="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</row>
    <row r="120" spans="1:103" ht="15.75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</row>
    <row r="121" spans="1:103" ht="15.75" x14ac:dyDescent="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</row>
    <row r="122" spans="1:103" ht="15.75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</row>
    <row r="123" spans="1:103" ht="15.75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</row>
    <row r="124" spans="1:103" ht="15.75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</row>
    <row r="125" spans="1:103" ht="15.75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</row>
    <row r="126" spans="1:103" ht="15.75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</row>
    <row r="127" spans="1:103" ht="15.75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</row>
    <row r="128" spans="1:103" ht="15.75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</row>
    <row r="129" spans="1:103" ht="15.75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</row>
    <row r="130" spans="1:103" ht="15.75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</row>
    <row r="131" spans="1:103" ht="15.75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</row>
    <row r="132" spans="1:103" ht="15.75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</row>
    <row r="133" spans="1:103" ht="15.75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</row>
    <row r="134" spans="1:103" ht="15.75" x14ac:dyDescent="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</row>
    <row r="135" spans="1:103" ht="15.75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</row>
    <row r="136" spans="1:103" ht="15.75" x14ac:dyDescent="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</row>
    <row r="137" spans="1:103" ht="15.75" x14ac:dyDescent="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</row>
    <row r="138" spans="1:103" ht="15.75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</row>
    <row r="139" spans="1:103" ht="15.75" x14ac:dyDescent="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</row>
    <row r="140" spans="1:103" ht="15.75" x14ac:dyDescent="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</row>
    <row r="141" spans="1:103" ht="15.75" x14ac:dyDescent="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</row>
    <row r="142" spans="1:103" ht="15.75" x14ac:dyDescent="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</row>
    <row r="143" spans="1:103" ht="15.75" x14ac:dyDescent="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</row>
    <row r="144" spans="1:103" ht="15.75" x14ac:dyDescent="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</row>
    <row r="145" spans="1:103" ht="15.75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</row>
    <row r="146" spans="1:103" ht="15.75" x14ac:dyDescent="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</row>
    <row r="147" spans="1:103" ht="15.75" x14ac:dyDescent="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</row>
    <row r="148" spans="1:103" ht="15.75" x14ac:dyDescent="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</row>
    <row r="149" spans="1:103" ht="15.75" x14ac:dyDescent="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</row>
    <row r="150" spans="1:103" ht="15.75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</row>
    <row r="151" spans="1:103" ht="15.75" x14ac:dyDescent="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</row>
    <row r="152" spans="1:103" ht="15.75" x14ac:dyDescent="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</row>
    <row r="153" spans="1:103" ht="15.75" x14ac:dyDescent="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</row>
    <row r="154" spans="1:103" ht="15.75" x14ac:dyDescent="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</row>
    <row r="155" spans="1:103" ht="15.75" x14ac:dyDescent="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</row>
    <row r="156" spans="1:103" ht="15.75" x14ac:dyDescent="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</row>
    <row r="157" spans="1:103" ht="15.75" x14ac:dyDescent="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</row>
    <row r="158" spans="1:103" ht="15.75" x14ac:dyDescent="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</row>
    <row r="159" spans="1:103" ht="15.75" x14ac:dyDescent="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</row>
    <row r="160" spans="1:103" ht="15.75" x14ac:dyDescent="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</row>
    <row r="161" spans="1:103" ht="15.75" x14ac:dyDescent="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</row>
    <row r="162" spans="1:103" ht="15.75" x14ac:dyDescent="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</row>
    <row r="163" spans="1:103" ht="15.75" x14ac:dyDescent="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</row>
    <row r="164" spans="1:103" ht="15.75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</row>
    <row r="165" spans="1:103" ht="15.75" x14ac:dyDescent="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</row>
    <row r="166" spans="1:103" ht="15.75" x14ac:dyDescent="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</row>
    <row r="167" spans="1:103" ht="15.75" x14ac:dyDescent="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</row>
    <row r="168" spans="1:103" ht="15.75" x14ac:dyDescent="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</row>
    <row r="169" spans="1:103" ht="15.75" x14ac:dyDescent="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</row>
    <row r="170" spans="1:103" ht="15.75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</row>
    <row r="171" spans="1:103" ht="15.75" x14ac:dyDescent="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</row>
    <row r="172" spans="1:103" ht="15.75" x14ac:dyDescent="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</row>
    <row r="173" spans="1:103" ht="15.75" x14ac:dyDescent="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</row>
    <row r="174" spans="1:103" ht="15.75" x14ac:dyDescent="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</row>
    <row r="175" spans="1:103" ht="15.75" x14ac:dyDescent="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</row>
    <row r="176" spans="1:103" ht="15.75" x14ac:dyDescent="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</row>
    <row r="177" spans="1:103" ht="15.75" x14ac:dyDescent="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</row>
    <row r="178" spans="1:103" ht="15.75" x14ac:dyDescent="0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</row>
    <row r="179" spans="1:103" ht="15.75" x14ac:dyDescent="0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</row>
    <row r="180" spans="1:103" ht="15.75" x14ac:dyDescent="0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</row>
    <row r="181" spans="1:103" ht="15.75" x14ac:dyDescent="0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</row>
    <row r="182" spans="1:103" ht="15.75" x14ac:dyDescent="0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</row>
    <row r="183" spans="1:103" ht="15.75" x14ac:dyDescent="0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</row>
    <row r="184" spans="1:103" ht="15.75" x14ac:dyDescent="0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</row>
    <row r="185" spans="1:103" ht="15.75" x14ac:dyDescent="0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</row>
    <row r="186" spans="1:103" ht="15.75" x14ac:dyDescent="0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</row>
    <row r="187" spans="1:103" ht="15.75" x14ac:dyDescent="0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</row>
    <row r="188" spans="1:103" ht="15.75" x14ac:dyDescent="0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</row>
    <row r="189" spans="1:103" ht="15.75" x14ac:dyDescent="0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</row>
    <row r="190" spans="1:103" ht="15.75" x14ac:dyDescent="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</row>
    <row r="191" spans="1:103" ht="15.75" x14ac:dyDescent="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</row>
    <row r="192" spans="1:103" ht="15.75" x14ac:dyDescent="0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</row>
    <row r="193" spans="1:103" ht="15.75" x14ac:dyDescent="0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</row>
    <row r="194" spans="1:103" ht="15.75" x14ac:dyDescent="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</row>
    <row r="195" spans="1:103" ht="15.75" x14ac:dyDescent="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</row>
    <row r="196" spans="1:103" ht="15.75" x14ac:dyDescent="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</row>
    <row r="197" spans="1:103" ht="15.75" x14ac:dyDescent="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</row>
    <row r="198" spans="1:103" ht="15.75" x14ac:dyDescent="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</row>
    <row r="199" spans="1:103" ht="15.75" x14ac:dyDescent="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</row>
    <row r="200" spans="1:103" ht="15.75" x14ac:dyDescent="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</row>
    <row r="201" spans="1:103" ht="15.75" x14ac:dyDescent="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</row>
    <row r="202" spans="1:103" ht="15.75" x14ac:dyDescent="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</row>
    <row r="203" spans="1:103" ht="15.75" x14ac:dyDescent="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</row>
    <row r="204" spans="1:103" ht="15.75" x14ac:dyDescent="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</row>
    <row r="205" spans="1:103" ht="15.75" x14ac:dyDescent="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</row>
    <row r="206" spans="1:103" ht="15.75" x14ac:dyDescent="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</row>
    <row r="207" spans="1:103" ht="15.75" x14ac:dyDescent="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</row>
    <row r="208" spans="1:103" ht="15.75" x14ac:dyDescent="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</row>
    <row r="209" spans="1:103" ht="15.75" x14ac:dyDescent="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</row>
    <row r="210" spans="1:103" ht="15.75" x14ac:dyDescent="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</row>
    <row r="211" spans="1:103" ht="15.75" x14ac:dyDescent="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</row>
    <row r="212" spans="1:103" ht="15.75" x14ac:dyDescent="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</row>
    <row r="213" spans="1:103" ht="15.75" x14ac:dyDescent="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</row>
    <row r="214" spans="1:103" ht="15.75" x14ac:dyDescent="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</row>
    <row r="215" spans="1:103" ht="15.75" x14ac:dyDescent="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</row>
    <row r="216" spans="1:103" ht="15.75" x14ac:dyDescent="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</row>
    <row r="217" spans="1:103" ht="15.75" x14ac:dyDescent="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</row>
    <row r="218" spans="1:103" ht="15.75" x14ac:dyDescent="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</row>
    <row r="219" spans="1:103" ht="15.75" x14ac:dyDescent="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</row>
    <row r="220" spans="1:103" ht="15.75" x14ac:dyDescent="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</row>
    <row r="221" spans="1:103" ht="15.75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</row>
    <row r="222" spans="1:103" ht="15.75" x14ac:dyDescent="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</row>
    <row r="223" spans="1:103" ht="15.75" x14ac:dyDescent="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</row>
    <row r="224" spans="1:103" ht="15.75" x14ac:dyDescent="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</row>
    <row r="225" spans="1:103" ht="15.75" x14ac:dyDescent="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</row>
    <row r="226" spans="1:103" ht="15.75" x14ac:dyDescent="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</row>
    <row r="227" spans="1:103" ht="15.75" x14ac:dyDescent="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</row>
    <row r="228" spans="1:103" ht="15.75" x14ac:dyDescent="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</row>
    <row r="229" spans="1:103" ht="15.75" x14ac:dyDescent="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</row>
    <row r="230" spans="1:103" ht="15.75" x14ac:dyDescent="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</row>
    <row r="231" spans="1:103" ht="15.75" x14ac:dyDescent="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</row>
    <row r="232" spans="1:103" ht="15.75" x14ac:dyDescent="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</row>
    <row r="233" spans="1:103" ht="15.75" x14ac:dyDescent="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</row>
    <row r="234" spans="1:103" ht="15.75" x14ac:dyDescent="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</row>
    <row r="235" spans="1:103" ht="15.75" x14ac:dyDescent="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</row>
    <row r="236" spans="1:103" ht="15.75" x14ac:dyDescent="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</row>
    <row r="237" spans="1:103" ht="15.75" x14ac:dyDescent="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</row>
    <row r="238" spans="1:103" ht="15.75" x14ac:dyDescent="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</row>
    <row r="239" spans="1:103" ht="15.75" x14ac:dyDescent="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</row>
    <row r="240" spans="1:103" ht="15.75" x14ac:dyDescent="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</row>
    <row r="241" spans="1:103" ht="15.75" x14ac:dyDescent="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</row>
    <row r="242" spans="1:103" ht="15.75" x14ac:dyDescent="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</row>
    <row r="243" spans="1:103" ht="15.75" x14ac:dyDescent="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</row>
    <row r="244" spans="1:103" ht="15.75" x14ac:dyDescent="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</row>
    <row r="245" spans="1:103" ht="15.75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</row>
    <row r="246" spans="1:103" ht="15.75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</row>
    <row r="247" spans="1:103" ht="15.75" x14ac:dyDescent="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</row>
    <row r="248" spans="1:103" ht="15.75" x14ac:dyDescent="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</row>
    <row r="249" spans="1:103" ht="15.75" x14ac:dyDescent="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</row>
    <row r="250" spans="1:103" ht="15.75" x14ac:dyDescent="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</row>
    <row r="251" spans="1:103" ht="15.75" x14ac:dyDescent="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</row>
    <row r="252" spans="1:103" ht="15.75" x14ac:dyDescent="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</row>
    <row r="253" spans="1:103" ht="15.75" x14ac:dyDescent="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</row>
    <row r="254" spans="1:103" ht="15.75" x14ac:dyDescent="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</row>
    <row r="255" spans="1:103" ht="15.75" x14ac:dyDescent="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</row>
    <row r="256" spans="1:103" ht="15.75" x14ac:dyDescent="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</row>
    <row r="257" spans="1:103" ht="15.75" x14ac:dyDescent="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</row>
    <row r="258" spans="1:103" ht="15.75" x14ac:dyDescent="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</row>
    <row r="259" spans="1:103" ht="15.75" x14ac:dyDescent="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</row>
    <row r="260" spans="1:103" ht="15.75" x14ac:dyDescent="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</row>
    <row r="261" spans="1:103" ht="15.75" x14ac:dyDescent="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</row>
    <row r="262" spans="1:103" ht="15.75" x14ac:dyDescent="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</row>
    <row r="263" spans="1:103" ht="15.75" x14ac:dyDescent="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</row>
    <row r="264" spans="1:103" ht="15.75" x14ac:dyDescent="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</row>
    <row r="265" spans="1:103" ht="15.75" x14ac:dyDescent="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</row>
    <row r="266" spans="1:103" ht="15.75" x14ac:dyDescent="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</row>
    <row r="267" spans="1:103" ht="15.75" x14ac:dyDescent="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</row>
    <row r="268" spans="1:103" ht="15.75" x14ac:dyDescent="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</row>
    <row r="269" spans="1:103" ht="15.75" x14ac:dyDescent="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</row>
    <row r="270" spans="1:103" ht="15.75" x14ac:dyDescent="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</row>
    <row r="271" spans="1:103" ht="15.75" x14ac:dyDescent="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</row>
    <row r="272" spans="1:103" ht="15.75" x14ac:dyDescent="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</row>
    <row r="273" spans="1:103" ht="15.75" x14ac:dyDescent="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</row>
    <row r="274" spans="1:103" ht="15.75" x14ac:dyDescent="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</row>
    <row r="275" spans="1:103" ht="15.75" x14ac:dyDescent="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</row>
    <row r="276" spans="1:103" ht="15.75" x14ac:dyDescent="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</row>
    <row r="277" spans="1:103" ht="15.75" x14ac:dyDescent="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</row>
    <row r="278" spans="1:103" ht="15.75" x14ac:dyDescent="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</row>
    <row r="279" spans="1:103" ht="15.75" x14ac:dyDescent="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</row>
    <row r="280" spans="1:103" ht="15.75" x14ac:dyDescent="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</row>
    <row r="281" spans="1:103" ht="15.75" x14ac:dyDescent="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</row>
    <row r="282" spans="1:103" ht="15.75" x14ac:dyDescent="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</row>
    <row r="283" spans="1:103" ht="15.75" x14ac:dyDescent="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</row>
    <row r="284" spans="1:103" ht="15.75" x14ac:dyDescent="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</row>
    <row r="285" spans="1:103" ht="15.75" x14ac:dyDescent="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</row>
    <row r="286" spans="1:103" ht="15.75" x14ac:dyDescent="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</row>
    <row r="287" spans="1:103" ht="15.75" x14ac:dyDescent="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</row>
    <row r="288" spans="1:103" ht="15.75" x14ac:dyDescent="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</row>
    <row r="289" spans="1:103" ht="15.75" x14ac:dyDescent="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</row>
    <row r="290" spans="1:103" ht="15.75" x14ac:dyDescent="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</row>
    <row r="291" spans="1:103" ht="15.75" x14ac:dyDescent="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</row>
    <row r="292" spans="1:103" ht="15.75" x14ac:dyDescent="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</row>
    <row r="293" spans="1:103" ht="15.75" x14ac:dyDescent="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</row>
    <row r="294" spans="1:103" ht="15.75" x14ac:dyDescent="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</row>
    <row r="295" spans="1:103" ht="15.75" x14ac:dyDescent="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</row>
    <row r="296" spans="1:103" ht="15.75" x14ac:dyDescent="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</row>
    <row r="297" spans="1:103" ht="15.75" x14ac:dyDescent="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</row>
    <row r="298" spans="1:103" ht="15.75" x14ac:dyDescent="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</row>
    <row r="299" spans="1:103" ht="15.75" x14ac:dyDescent="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</row>
    <row r="300" spans="1:103" ht="15.75" x14ac:dyDescent="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</row>
    <row r="301" spans="1:103" ht="15.75" x14ac:dyDescent="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</row>
    <row r="302" spans="1:103" ht="15.75" x14ac:dyDescent="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</row>
    <row r="303" spans="1:103" ht="15.75" x14ac:dyDescent="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</row>
    <row r="304" spans="1:103" ht="15.75" x14ac:dyDescent="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</row>
    <row r="305" spans="1:103" ht="15.75" x14ac:dyDescent="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</row>
    <row r="306" spans="1:103" ht="15.75" x14ac:dyDescent="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</row>
    <row r="307" spans="1:103" ht="15.75" x14ac:dyDescent="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</row>
    <row r="308" spans="1:103" ht="15.75" x14ac:dyDescent="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</row>
    <row r="309" spans="1:103" ht="15.75" x14ac:dyDescent="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</row>
    <row r="310" spans="1:103" ht="15.75" x14ac:dyDescent="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</row>
    <row r="311" spans="1:103" ht="15.75" x14ac:dyDescent="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</row>
    <row r="312" spans="1:103" ht="15.75" x14ac:dyDescent="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</row>
    <row r="313" spans="1:103" ht="15.75" x14ac:dyDescent="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</row>
    <row r="314" spans="1:103" ht="15.75" x14ac:dyDescent="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</row>
    <row r="315" spans="1:103" ht="15.75" x14ac:dyDescent="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</row>
    <row r="316" spans="1:103" ht="15.75" x14ac:dyDescent="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</row>
    <row r="317" spans="1:103" ht="15.75" x14ac:dyDescent="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</row>
    <row r="318" spans="1:103" ht="15.75" x14ac:dyDescent="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</row>
    <row r="319" spans="1:103" ht="15.75" x14ac:dyDescent="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</row>
    <row r="320" spans="1:103" ht="15.75" x14ac:dyDescent="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</row>
    <row r="321" spans="1:103" ht="15.75" x14ac:dyDescent="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</row>
    <row r="322" spans="1:103" ht="15.75" x14ac:dyDescent="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</row>
    <row r="323" spans="1:103" ht="15.75" x14ac:dyDescent="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</row>
    <row r="324" spans="1:103" ht="15.75" x14ac:dyDescent="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</row>
    <row r="325" spans="1:103" ht="15.75" x14ac:dyDescent="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</row>
    <row r="326" spans="1:103" ht="15.75" x14ac:dyDescent="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</row>
    <row r="327" spans="1:103" ht="15.75" x14ac:dyDescent="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</row>
    <row r="328" spans="1:103" ht="15.75" x14ac:dyDescent="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</row>
    <row r="329" spans="1:103" ht="15.75" x14ac:dyDescent="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</row>
    <row r="330" spans="1:103" ht="15.75" x14ac:dyDescent="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</row>
    <row r="331" spans="1:103" ht="15.75" x14ac:dyDescent="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</row>
    <row r="332" spans="1:103" ht="15.75" x14ac:dyDescent="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</row>
    <row r="333" spans="1:103" ht="15.75" x14ac:dyDescent="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</row>
    <row r="334" spans="1:103" ht="15.75" x14ac:dyDescent="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</row>
    <row r="335" spans="1:103" ht="15.75" x14ac:dyDescent="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</row>
    <row r="336" spans="1:103" ht="15.75" x14ac:dyDescent="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</row>
    <row r="337" spans="1:103" ht="15.75" x14ac:dyDescent="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</row>
    <row r="338" spans="1:103" ht="15.75" x14ac:dyDescent="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</row>
    <row r="339" spans="1:103" ht="15.75" x14ac:dyDescent="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</row>
    <row r="340" spans="1:103" ht="15.75" x14ac:dyDescent="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</row>
    <row r="341" spans="1:103" ht="15.75" x14ac:dyDescent="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</row>
    <row r="342" spans="1:103" ht="15.75" x14ac:dyDescent="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</row>
    <row r="343" spans="1:103" ht="15.75" x14ac:dyDescent="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</row>
    <row r="344" spans="1:103" ht="15.75" x14ac:dyDescent="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</row>
    <row r="345" spans="1:103" ht="15.75" x14ac:dyDescent="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</row>
    <row r="346" spans="1:103" ht="15.75" x14ac:dyDescent="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</row>
    <row r="347" spans="1:103" ht="15.75" x14ac:dyDescent="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</row>
    <row r="348" spans="1:103" ht="15.75" x14ac:dyDescent="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</row>
    <row r="349" spans="1:103" ht="15.75" x14ac:dyDescent="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</row>
    <row r="350" spans="1:103" ht="18.75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 spans="1:103" ht="18.75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 spans="1:103" ht="18.75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 spans="1:64" ht="18.75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 spans="1:64" ht="18.75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 spans="1:64" ht="18.75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 spans="1:64" ht="18.75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 spans="1:64" ht="18.75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 spans="1:64" ht="18.75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 spans="1:64" ht="18.75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 spans="1:64" ht="18.75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 spans="1:64" ht="18.75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 spans="1:64" ht="18.75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 spans="1:64" ht="18.75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 spans="1:64" ht="18.75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 spans="1:64" ht="18.75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751C-6C9E-433D-BB57-B5A5C13EB244}">
  <dimension ref="A2:P21"/>
  <sheetViews>
    <sheetView workbookViewId="0">
      <selection activeCell="I18" sqref="I18"/>
    </sheetView>
  </sheetViews>
  <sheetFormatPr defaultRowHeight="15" x14ac:dyDescent="0.25"/>
  <sheetData>
    <row r="2" spans="1:16" ht="18.75" x14ac:dyDescent="0.3">
      <c r="A2" s="13" t="s">
        <v>93</v>
      </c>
      <c r="B2" s="14"/>
      <c r="C2" s="14"/>
      <c r="D2" s="14"/>
      <c r="E2" s="14"/>
      <c r="F2" s="14"/>
      <c r="G2" s="14"/>
      <c r="H2" s="14"/>
      <c r="I2" s="10"/>
      <c r="J2" s="10"/>
      <c r="K2" s="10"/>
      <c r="L2" s="10"/>
      <c r="M2" s="10"/>
      <c r="N2" s="10"/>
      <c r="O2" s="10"/>
    </row>
    <row r="3" spans="1:16" ht="18.75" x14ac:dyDescent="0.3">
      <c r="A3" s="13" t="s">
        <v>92</v>
      </c>
      <c r="B3" s="14"/>
      <c r="C3" s="14"/>
      <c r="D3" s="14"/>
      <c r="E3" s="14"/>
      <c r="F3" s="14"/>
      <c r="G3" s="14"/>
      <c r="H3" s="14"/>
      <c r="I3" s="10"/>
      <c r="J3" s="10"/>
      <c r="K3" s="10"/>
      <c r="L3" s="10"/>
      <c r="M3" s="10"/>
      <c r="N3" s="10"/>
      <c r="O3" s="10"/>
    </row>
    <row r="4" spans="1:16" ht="18.75" x14ac:dyDescent="0.3">
      <c r="A4" s="13" t="s">
        <v>94</v>
      </c>
      <c r="B4" s="14"/>
      <c r="C4" s="14"/>
      <c r="D4" s="14"/>
      <c r="E4" s="14"/>
      <c r="F4" s="14"/>
      <c r="G4" s="14"/>
      <c r="H4" s="14"/>
      <c r="I4" s="14"/>
      <c r="J4" s="14"/>
      <c r="K4" s="10"/>
      <c r="L4" s="10"/>
      <c r="M4" s="10"/>
      <c r="N4" s="10"/>
      <c r="O4" s="10"/>
    </row>
    <row r="5" spans="1:16" x14ac:dyDescent="0.25">
      <c r="A5" s="1"/>
    </row>
    <row r="6" spans="1:16" ht="18.75" x14ac:dyDescent="0.3">
      <c r="A6" s="38" t="s">
        <v>14</v>
      </c>
    </row>
    <row r="8" spans="1:16" ht="18.75" x14ac:dyDescent="0.3">
      <c r="B8" s="5">
        <v>400</v>
      </c>
      <c r="C8" s="3"/>
      <c r="D8" s="25">
        <f>AVERAGE(B8:B12)</f>
        <v>414</v>
      </c>
      <c r="E8" s="3"/>
      <c r="F8" s="29" t="s">
        <v>95</v>
      </c>
      <c r="G8" s="3"/>
      <c r="H8" s="3"/>
      <c r="I8" s="3"/>
      <c r="J8" s="22"/>
    </row>
    <row r="9" spans="1:16" ht="18.75" x14ac:dyDescent="0.3">
      <c r="B9" s="5">
        <v>420</v>
      </c>
      <c r="C9" s="3"/>
      <c r="D9" s="3"/>
      <c r="E9" s="3"/>
      <c r="G9" s="3" t="s">
        <v>96</v>
      </c>
      <c r="H9" s="3"/>
      <c r="I9" s="3"/>
    </row>
    <row r="10" spans="1:16" ht="18.75" x14ac:dyDescent="0.3">
      <c r="B10" s="5">
        <v>390</v>
      </c>
      <c r="C10" s="3"/>
      <c r="D10" s="44">
        <f>_xlfn.STDEV.S(B8:B12)</f>
        <v>23.021728866442675</v>
      </c>
      <c r="E10" s="3"/>
    </row>
    <row r="11" spans="1:16" ht="18.75" x14ac:dyDescent="0.3">
      <c r="B11" s="5">
        <v>450</v>
      </c>
      <c r="C11" s="3"/>
      <c r="D11" s="3"/>
      <c r="E11" s="3"/>
    </row>
    <row r="12" spans="1:16" ht="18.75" x14ac:dyDescent="0.3">
      <c r="B12" s="5">
        <v>410</v>
      </c>
      <c r="C12" s="3"/>
      <c r="D12" s="3"/>
      <c r="E12" s="3"/>
    </row>
    <row r="14" spans="1:16" ht="18.75" x14ac:dyDescent="0.3">
      <c r="B14" s="12" t="s">
        <v>100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7"/>
      <c r="P14" s="17"/>
    </row>
    <row r="15" spans="1:16" ht="18.75" x14ac:dyDescent="0.3">
      <c r="B15" s="12" t="s">
        <v>98</v>
      </c>
      <c r="C15" s="12"/>
      <c r="D15" s="12"/>
      <c r="E15" s="12"/>
      <c r="F15" s="12"/>
      <c r="G15" s="12"/>
      <c r="H15" s="12"/>
      <c r="I15" s="17"/>
      <c r="J15" s="17"/>
      <c r="K15" s="12"/>
      <c r="L15" s="12"/>
      <c r="M15" s="12"/>
      <c r="N15" s="12"/>
      <c r="O15" s="17"/>
      <c r="P15" s="17"/>
    </row>
    <row r="16" spans="1:16" ht="18.75" x14ac:dyDescent="0.3">
      <c r="B16" s="12" t="s">
        <v>99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7"/>
      <c r="P16" s="17"/>
    </row>
    <row r="17" spans="2:16" ht="18.75" x14ac:dyDescent="0.3">
      <c r="B17" s="12" t="s">
        <v>97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7"/>
      <c r="P17" s="17"/>
    </row>
    <row r="18" spans="2:16" ht="18.75" x14ac:dyDescent="0.3">
      <c r="B18" s="12" t="s">
        <v>101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7"/>
      <c r="P18" s="17"/>
    </row>
    <row r="19" spans="2:16" ht="18.75" x14ac:dyDescent="0.3">
      <c r="I19" s="3"/>
      <c r="J19" s="3"/>
    </row>
    <row r="20" spans="2:16" ht="18.75" x14ac:dyDescent="0.3">
      <c r="B20" s="45" t="s">
        <v>102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  <c r="O20" s="34"/>
    </row>
    <row r="21" spans="2:16" ht="18.75" x14ac:dyDescent="0.3">
      <c r="B21" s="45" t="s">
        <v>103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  <c r="O21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43B0-69B7-4235-9C95-A2D7A12438D2}">
  <dimension ref="A2:R36"/>
  <sheetViews>
    <sheetView showGridLines="0" workbookViewId="0">
      <selection activeCell="F8" sqref="F8"/>
    </sheetView>
  </sheetViews>
  <sheetFormatPr defaultRowHeight="15" x14ac:dyDescent="0.25"/>
  <cols>
    <col min="5" max="5" width="11.28515625" customWidth="1"/>
    <col min="6" max="6" width="21.85546875" customWidth="1"/>
  </cols>
  <sheetData>
    <row r="2" spans="1:18" ht="18.75" x14ac:dyDescent="0.3">
      <c r="A2" s="13" t="s">
        <v>104</v>
      </c>
      <c r="B2" s="14"/>
      <c r="C2" s="14"/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46"/>
    </row>
    <row r="3" spans="1:18" ht="18.75" x14ac:dyDescent="0.3">
      <c r="A3" s="13" t="s">
        <v>105</v>
      </c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46"/>
    </row>
    <row r="4" spans="1:18" ht="18.75" x14ac:dyDescent="0.3">
      <c r="A4" s="13" t="s">
        <v>106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46"/>
    </row>
    <row r="5" spans="1:18" ht="18.75" x14ac:dyDescent="0.3">
      <c r="A5" s="2"/>
      <c r="B5" s="3"/>
      <c r="C5" s="3"/>
      <c r="D5" s="3"/>
      <c r="E5" s="3"/>
      <c r="F5" s="3"/>
      <c r="G5" s="3"/>
      <c r="H5" s="3"/>
      <c r="I5" s="3"/>
    </row>
    <row r="6" spans="1:18" ht="19.5" thickBot="1" x14ac:dyDescent="0.35">
      <c r="A6" s="3" t="s">
        <v>14</v>
      </c>
    </row>
    <row r="7" spans="1:18" ht="19.5" thickBot="1" x14ac:dyDescent="0.35">
      <c r="B7" s="5">
        <v>15</v>
      </c>
      <c r="C7" s="3"/>
      <c r="D7" s="3"/>
      <c r="E7" s="54" t="s">
        <v>115</v>
      </c>
      <c r="F7" s="55"/>
    </row>
    <row r="8" spans="1:18" ht="18.75" x14ac:dyDescent="0.3">
      <c r="B8" s="5">
        <v>18</v>
      </c>
      <c r="C8" s="3"/>
      <c r="D8" s="3"/>
      <c r="E8" s="49" t="s">
        <v>107</v>
      </c>
      <c r="F8" s="50">
        <f>AVERAGE(B7:B14)</f>
        <v>19.625</v>
      </c>
    </row>
    <row r="9" spans="1:18" ht="18.75" x14ac:dyDescent="0.3">
      <c r="B9" s="5">
        <v>20</v>
      </c>
      <c r="C9" s="3"/>
      <c r="D9" s="3"/>
      <c r="E9" s="51" t="s">
        <v>108</v>
      </c>
      <c r="F9" s="51">
        <f>MEDIAN(B7:B14)</f>
        <v>19.5</v>
      </c>
    </row>
    <row r="10" spans="1:18" ht="18.75" x14ac:dyDescent="0.3">
      <c r="B10" s="5">
        <v>22</v>
      </c>
      <c r="C10" s="3"/>
      <c r="D10" s="3"/>
      <c r="E10" s="51" t="s">
        <v>109</v>
      </c>
      <c r="F10" s="52" t="s">
        <v>114</v>
      </c>
    </row>
    <row r="11" spans="1:18" ht="18.75" x14ac:dyDescent="0.3">
      <c r="B11" s="5">
        <v>25</v>
      </c>
      <c r="C11" s="3"/>
      <c r="D11" s="3"/>
      <c r="E11" s="51" t="s">
        <v>110</v>
      </c>
      <c r="F11" s="51">
        <f>MAX(B7:B14)</f>
        <v>25</v>
      </c>
    </row>
    <row r="12" spans="1:18" ht="18.75" x14ac:dyDescent="0.3">
      <c r="B12" s="5">
        <v>17</v>
      </c>
      <c r="C12" s="3"/>
      <c r="D12" s="3"/>
      <c r="E12" s="51" t="s">
        <v>111</v>
      </c>
      <c r="F12" s="51">
        <f>MIN(B7:B14)</f>
        <v>15</v>
      </c>
    </row>
    <row r="13" spans="1:18" ht="18.75" x14ac:dyDescent="0.3">
      <c r="B13" s="5">
        <v>19</v>
      </c>
      <c r="C13" s="3"/>
      <c r="D13" s="3"/>
      <c r="E13" s="51" t="s">
        <v>112</v>
      </c>
      <c r="F13" s="51">
        <f>MAX(B7:B14)-MIN(B7:B14)</f>
        <v>10</v>
      </c>
    </row>
    <row r="14" spans="1:18" ht="18.75" x14ac:dyDescent="0.3">
      <c r="B14" s="5">
        <v>21</v>
      </c>
      <c r="C14" s="3"/>
      <c r="D14" s="3"/>
      <c r="E14" s="51" t="s">
        <v>113</v>
      </c>
      <c r="F14" s="53">
        <f>_xlfn.STDEV.S(B7:B14)</f>
        <v>3.1139088893910452</v>
      </c>
    </row>
    <row r="17" spans="1:18" ht="18.75" x14ac:dyDescent="0.3">
      <c r="B17" s="56" t="s">
        <v>118</v>
      </c>
      <c r="C17" s="56"/>
      <c r="D17" s="56"/>
      <c r="E17" s="56"/>
      <c r="F17" s="56"/>
    </row>
    <row r="19" spans="1:18" ht="18.75" x14ac:dyDescent="0.3">
      <c r="A19" s="48" t="s">
        <v>119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7"/>
      <c r="M19" s="47"/>
      <c r="N19" s="47"/>
      <c r="O19" s="22"/>
      <c r="P19" s="22"/>
      <c r="Q19" s="22"/>
      <c r="R19" s="22"/>
    </row>
    <row r="20" spans="1:18" ht="18.75" x14ac:dyDescent="0.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22"/>
      <c r="P20" s="22"/>
      <c r="Q20" s="22"/>
      <c r="R20" s="22"/>
    </row>
    <row r="21" spans="1:18" ht="18.75" x14ac:dyDescent="0.3">
      <c r="A21" s="48" t="s">
        <v>120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22"/>
      <c r="P21" s="22"/>
      <c r="Q21" s="22"/>
      <c r="R21" s="22"/>
    </row>
    <row r="22" spans="1:18" ht="18.75" x14ac:dyDescent="0.3">
      <c r="A22" s="47"/>
      <c r="B22" s="47" t="s">
        <v>116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22"/>
      <c r="P22" s="22"/>
      <c r="Q22" s="22"/>
      <c r="R22" s="22"/>
    </row>
    <row r="23" spans="1:18" ht="18.75" x14ac:dyDescent="0.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22"/>
      <c r="P23" s="22"/>
      <c r="Q23" s="22"/>
      <c r="R23" s="22"/>
    </row>
    <row r="24" spans="1:18" ht="18.75" x14ac:dyDescent="0.3">
      <c r="A24" s="48" t="s">
        <v>121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22"/>
      <c r="P24" s="22"/>
      <c r="Q24" s="22"/>
      <c r="R24" s="22"/>
    </row>
    <row r="25" spans="1:18" ht="18.75" x14ac:dyDescent="0.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22"/>
      <c r="P25" s="22"/>
      <c r="Q25" s="22"/>
      <c r="R25" s="22"/>
    </row>
    <row r="26" spans="1:18" ht="18.75" x14ac:dyDescent="0.3">
      <c r="A26" s="48" t="s">
        <v>122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22"/>
      <c r="P26" s="22"/>
      <c r="Q26" s="22"/>
      <c r="R26" s="22"/>
    </row>
    <row r="27" spans="1:18" ht="18.75" x14ac:dyDescent="0.3">
      <c r="A27" s="47"/>
      <c r="B27" s="47" t="s">
        <v>117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22"/>
      <c r="P27" s="22"/>
      <c r="Q27" s="22"/>
      <c r="R27" s="22"/>
    </row>
    <row r="30" spans="1:18" ht="18.75" x14ac:dyDescent="0.3">
      <c r="A30" s="17"/>
      <c r="B30" s="12" t="s">
        <v>123</v>
      </c>
      <c r="C30" s="12"/>
      <c r="D30" s="12"/>
      <c r="E30" s="12"/>
      <c r="F30" s="12"/>
      <c r="G30" s="12"/>
      <c r="H30" s="17"/>
      <c r="I30" s="17"/>
    </row>
    <row r="31" spans="1:18" ht="18.75" x14ac:dyDescent="0.3">
      <c r="A31" s="17"/>
      <c r="B31" s="12"/>
      <c r="C31" s="12"/>
      <c r="D31" s="12"/>
      <c r="E31" s="12"/>
      <c r="F31" s="12"/>
      <c r="G31" s="12"/>
      <c r="H31" s="17"/>
      <c r="I31" s="17"/>
    </row>
    <row r="32" spans="1:18" ht="18.75" x14ac:dyDescent="0.3">
      <c r="A32" s="17"/>
      <c r="B32" s="12" t="s">
        <v>124</v>
      </c>
      <c r="C32" s="12"/>
      <c r="D32" s="12"/>
      <c r="E32" s="12"/>
      <c r="F32" s="12"/>
      <c r="G32" s="12"/>
      <c r="H32" s="17"/>
      <c r="I32" s="17"/>
    </row>
    <row r="33" spans="1:9" ht="18.75" x14ac:dyDescent="0.3">
      <c r="A33" s="17"/>
      <c r="B33" s="12"/>
      <c r="C33" s="12"/>
      <c r="D33" s="12"/>
      <c r="E33" s="12"/>
      <c r="F33" s="12"/>
      <c r="G33" s="12"/>
      <c r="H33" s="17"/>
      <c r="I33" s="17"/>
    </row>
    <row r="34" spans="1:9" ht="18.75" x14ac:dyDescent="0.3">
      <c r="A34" s="17"/>
      <c r="B34" s="12" t="s">
        <v>125</v>
      </c>
      <c r="C34" s="12"/>
      <c r="D34" s="12"/>
      <c r="E34" s="12"/>
      <c r="F34" s="12"/>
      <c r="G34" s="12"/>
      <c r="H34" s="17"/>
      <c r="I34" s="17"/>
    </row>
    <row r="35" spans="1:9" ht="18.75" x14ac:dyDescent="0.3">
      <c r="A35" s="17"/>
      <c r="B35" s="12"/>
      <c r="C35" s="12"/>
      <c r="D35" s="12"/>
      <c r="E35" s="12"/>
      <c r="F35" s="12"/>
      <c r="G35" s="12"/>
      <c r="H35" s="17"/>
      <c r="I35" s="17"/>
    </row>
    <row r="36" spans="1:9" ht="18.75" x14ac:dyDescent="0.3">
      <c r="A36" s="17"/>
      <c r="B36" s="12" t="s">
        <v>126</v>
      </c>
      <c r="C36" s="12"/>
      <c r="D36" s="12"/>
      <c r="E36" s="12"/>
      <c r="F36" s="12"/>
      <c r="G36" s="12"/>
      <c r="H36" s="17"/>
      <c r="I36" s="17"/>
    </row>
  </sheetData>
  <mergeCells count="1">
    <mergeCell ref="E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snipershot1126@gmail.com</cp:lastModifiedBy>
  <dcterms:created xsi:type="dcterms:W3CDTF">2025-12-25T06:45:41Z</dcterms:created>
  <dcterms:modified xsi:type="dcterms:W3CDTF">2025-12-25T10:15:16Z</dcterms:modified>
</cp:coreProperties>
</file>