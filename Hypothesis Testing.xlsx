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0" documentId="8_{07B696EC-0BF1-43CD-A219-3FD023768D86}" xr6:coauthVersionLast="47" xr6:coauthVersionMax="47" xr10:uidLastSave="{00000000-0000-0000-0000-000000000000}"/>
  <bookViews>
    <workbookView xWindow="-120" yWindow="-120" windowWidth="20730" windowHeight="11160" xr2:uid="{E2403E15-45E7-482A-92BF-E2287C519436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8" l="1"/>
  <c r="A43" i="8"/>
  <c r="A38" i="8"/>
  <c r="C34" i="8"/>
  <c r="C33" i="8"/>
  <c r="B34" i="8"/>
  <c r="B33" i="8"/>
  <c r="C26" i="8"/>
  <c r="C25" i="8"/>
  <c r="B26" i="8"/>
  <c r="B25" i="8"/>
  <c r="D16" i="8"/>
  <c r="D15" i="8" a="1"/>
  <c r="D15" i="8" s="1"/>
  <c r="D14" i="8" a="1"/>
  <c r="D14" i="8" s="1"/>
  <c r="C16" i="8"/>
  <c r="B16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<sst xmlns="http://schemas.openxmlformats.org/spreadsheetml/2006/main" count="153" uniqueCount="130">
  <si>
    <t>Hypothesis Testing</t>
  </si>
  <si>
    <t>Question 1: What is a null hypothesis (H₀) and why is it important in hypothesis testing?</t>
  </si>
  <si>
    <t>Sol:</t>
  </si>
  <si>
    <t xml:space="preserve"> It represents the default or initial claim that any observed result is due to random chance.</t>
  </si>
  <si>
    <t>Importance of the null hypothesis:</t>
  </si>
  <si>
    <r>
      <t xml:space="preserve">The </t>
    </r>
    <r>
      <rPr>
        <b/>
        <sz val="14"/>
        <color theme="1"/>
        <rFont val="Calibri"/>
        <family val="2"/>
      </rPr>
      <t>null hypothesis (H₀)</t>
    </r>
    <r>
      <rPr>
        <sz val="14"/>
        <color theme="1"/>
        <rFont val="Calibri"/>
        <family val="2"/>
      </rPr>
      <t xml:space="preserve"> is a statement that assumes </t>
    </r>
    <r>
      <rPr>
        <b/>
        <sz val="14"/>
        <color theme="1"/>
        <rFont val="Calibri"/>
        <family val="2"/>
      </rPr>
      <t>no effect, no difference, or no relationship</t>
    </r>
    <r>
      <rPr>
        <sz val="14"/>
        <color theme="1"/>
        <rFont val="Calibri"/>
        <family val="2"/>
      </rPr>
      <t xml:space="preserve"> exists between variables in a population.</t>
    </r>
  </si>
  <si>
    <r>
      <t xml:space="preserve">It provides a </t>
    </r>
    <r>
      <rPr>
        <b/>
        <sz val="14"/>
        <color theme="1"/>
        <rFont val="Calibri"/>
        <family val="2"/>
      </rPr>
      <t>clear baseline</t>
    </r>
    <r>
      <rPr>
        <sz val="14"/>
        <color theme="1"/>
        <rFont val="Calibri"/>
        <family val="2"/>
      </rPr>
      <t xml:space="preserve"> against which the alternative hypothesis is tested.</t>
    </r>
  </si>
  <si>
    <r>
      <t xml:space="preserve">It allows researchers to apply </t>
    </r>
    <r>
      <rPr>
        <b/>
        <sz val="14"/>
        <color theme="1"/>
        <rFont val="Calibri"/>
        <family val="2"/>
      </rPr>
      <t>statistical tests</t>
    </r>
    <r>
      <rPr>
        <sz val="14"/>
        <color theme="1"/>
        <rFont val="Calibri"/>
        <family val="2"/>
      </rPr>
      <t xml:space="preserve"> to make objective decisions.</t>
    </r>
  </si>
  <si>
    <r>
      <t xml:space="preserve">Hypothesis testing aims to determine whether there is </t>
    </r>
    <r>
      <rPr>
        <b/>
        <sz val="14"/>
        <color theme="1"/>
        <rFont val="Calibri"/>
        <family val="2"/>
      </rPr>
      <t>enough evidence to reject H₀</t>
    </r>
    <r>
      <rPr>
        <sz val="14"/>
        <color theme="1"/>
        <rFont val="Calibri"/>
        <family val="2"/>
      </rPr>
      <t>.</t>
    </r>
  </si>
  <si>
    <r>
      <t xml:space="preserve">Decisions such as accepting or rejecting claims are made </t>
    </r>
    <r>
      <rPr>
        <b/>
        <sz val="14"/>
        <color theme="1"/>
        <rFont val="Calibri"/>
        <family val="2"/>
      </rPr>
      <t>based on H₀</t>
    </r>
    <r>
      <rPr>
        <sz val="14"/>
        <color theme="1"/>
        <rFont val="Calibri"/>
        <family val="2"/>
      </rPr>
      <t>, making it central to statistical inference.</t>
    </r>
  </si>
  <si>
    <t>Question 2: What does the significance level (α) represent in hypothesis testing?</t>
  </si>
  <si>
    <t>In simple terms, it indicates how much risk a researcher is willing to take of making a wrong decision.</t>
  </si>
  <si>
    <t>Key points about significance level (α):</t>
  </si>
  <si>
    <r>
      <t xml:space="preserve">The </t>
    </r>
    <r>
      <rPr>
        <b/>
        <sz val="14"/>
        <color theme="1"/>
        <rFont val="Calibri"/>
        <family val="2"/>
      </rPr>
      <t>significance level (α)</t>
    </r>
    <r>
      <rPr>
        <sz val="14"/>
        <color theme="1"/>
        <rFont val="Calibri"/>
        <family val="2"/>
      </rPr>
      <t xml:space="preserve"> represents the </t>
    </r>
    <r>
      <rPr>
        <b/>
        <sz val="14"/>
        <color theme="1"/>
        <rFont val="Calibri"/>
        <family val="2"/>
      </rPr>
      <t>maximum probability of committing a Type I error</t>
    </r>
    <r>
      <rPr>
        <sz val="14"/>
        <color theme="1"/>
        <rFont val="Calibri"/>
        <family val="2"/>
      </rPr>
      <t>, which occurs when a true null hypothesis is incorrectly rejected.</t>
    </r>
  </si>
  <si>
    <r>
      <t xml:space="preserve">It is a </t>
    </r>
    <r>
      <rPr>
        <b/>
        <sz val="14"/>
        <color theme="1"/>
        <rFont val="Calibri"/>
        <family val="2"/>
      </rPr>
      <t>threshold value</t>
    </r>
    <r>
      <rPr>
        <sz val="14"/>
        <color theme="1"/>
        <rFont val="Calibri"/>
        <family val="2"/>
      </rPr>
      <t xml:space="preserve"> used to decide whether to reject the null hypothesis.</t>
    </r>
  </si>
  <si>
    <r>
      <t xml:space="preserve">Commonly used values are </t>
    </r>
    <r>
      <rPr>
        <b/>
        <sz val="14"/>
        <color theme="1"/>
        <rFont val="Calibri"/>
        <family val="2"/>
      </rPr>
      <t>0.05, 0.01, or 0.10</t>
    </r>
    <r>
      <rPr>
        <sz val="14"/>
        <color theme="1"/>
        <rFont val="Calibri"/>
        <family val="2"/>
      </rPr>
      <t>.</t>
    </r>
  </si>
  <si>
    <r>
      <t xml:space="preserve">If the </t>
    </r>
    <r>
      <rPr>
        <b/>
        <sz val="14"/>
        <color theme="1"/>
        <rFont val="Calibri"/>
        <family val="2"/>
      </rPr>
      <t>p-value ≤ α</t>
    </r>
    <r>
      <rPr>
        <sz val="14"/>
        <color theme="1"/>
        <rFont val="Calibri"/>
        <family val="2"/>
      </rPr>
      <t>, the null hypothesis is rejected.</t>
    </r>
  </si>
  <si>
    <r>
      <t xml:space="preserve">If the </t>
    </r>
    <r>
      <rPr>
        <b/>
        <sz val="14"/>
        <color theme="1"/>
        <rFont val="Calibri"/>
        <family val="2"/>
      </rPr>
      <t>p-value &gt; α</t>
    </r>
    <r>
      <rPr>
        <sz val="14"/>
        <color theme="1"/>
        <rFont val="Calibri"/>
        <family val="2"/>
      </rPr>
      <t>, the null hypothesis is not rejected.</t>
    </r>
  </si>
  <si>
    <t>Question 3: Differentiate between Type I and Type II errors</t>
  </si>
  <si>
    <t>Type I Error (α error):</t>
  </si>
  <si>
    <t>Type II Error (β error):</t>
  </si>
  <si>
    <r>
      <t xml:space="preserve">In hypothesis testing, </t>
    </r>
    <r>
      <rPr>
        <b/>
        <sz val="14"/>
        <color theme="1"/>
        <rFont val="Calibri"/>
        <family val="2"/>
      </rPr>
      <t>Type I and Type II errors</t>
    </r>
    <r>
      <rPr>
        <sz val="14"/>
        <color theme="1"/>
        <rFont val="Calibri"/>
        <family val="2"/>
      </rPr>
      <t xml:space="preserve"> represent incorrect decisions made during statistical testing.</t>
    </r>
  </si>
  <si>
    <r>
      <t xml:space="preserve">Occurs when the </t>
    </r>
    <r>
      <rPr>
        <b/>
        <sz val="14"/>
        <color theme="1"/>
        <rFont val="Calibri"/>
        <family val="2"/>
      </rPr>
      <t>null hypothesis is true but is rejected</t>
    </r>
    <r>
      <rPr>
        <sz val="14"/>
        <color theme="1"/>
        <rFont val="Calibri"/>
        <family val="2"/>
      </rPr>
      <t>.</t>
    </r>
  </si>
  <si>
    <r>
      <t xml:space="preserve">It is also known as a </t>
    </r>
    <r>
      <rPr>
        <b/>
        <sz val="14"/>
        <color theme="1"/>
        <rFont val="Calibri"/>
        <family val="2"/>
      </rPr>
      <t>false positive</t>
    </r>
    <r>
      <rPr>
        <sz val="14"/>
        <color theme="1"/>
        <rFont val="Calibri"/>
        <family val="2"/>
      </rPr>
      <t>.</t>
    </r>
  </si>
  <si>
    <r>
      <t xml:space="preserve">The probability of making a Type I error is equal to the </t>
    </r>
    <r>
      <rPr>
        <b/>
        <sz val="14"/>
        <color theme="1"/>
        <rFont val="Calibri"/>
        <family val="2"/>
      </rPr>
      <t>significance level (α)</t>
    </r>
    <r>
      <rPr>
        <sz val="14"/>
        <color theme="1"/>
        <rFont val="Calibri"/>
        <family val="2"/>
      </rPr>
      <t>.</t>
    </r>
  </si>
  <si>
    <r>
      <t xml:space="preserve">Occurs when the </t>
    </r>
    <r>
      <rPr>
        <b/>
        <sz val="14"/>
        <color theme="1"/>
        <rFont val="Calibri"/>
        <family val="2"/>
      </rPr>
      <t>null hypothesis is false but is not rejected</t>
    </r>
    <r>
      <rPr>
        <sz val="14"/>
        <color theme="1"/>
        <rFont val="Calibri"/>
        <family val="2"/>
      </rPr>
      <t>.</t>
    </r>
  </si>
  <si>
    <r>
      <t xml:space="preserve">It is also known as a </t>
    </r>
    <r>
      <rPr>
        <b/>
        <sz val="14"/>
        <color theme="1"/>
        <rFont val="Calibri"/>
        <family val="2"/>
      </rPr>
      <t>false negative</t>
    </r>
    <r>
      <rPr>
        <sz val="14"/>
        <color theme="1"/>
        <rFont val="Calibri"/>
        <family val="2"/>
      </rPr>
      <t>.</t>
    </r>
  </si>
  <si>
    <r>
      <t xml:space="preserve">The probability of making a Type II error is denoted by </t>
    </r>
    <r>
      <rPr>
        <b/>
        <sz val="14"/>
        <color theme="1"/>
        <rFont val="Calibri"/>
        <family val="2"/>
      </rPr>
      <t>β</t>
    </r>
    <r>
      <rPr>
        <sz val="14"/>
        <color theme="1"/>
        <rFont val="Calibri"/>
        <family val="2"/>
      </rPr>
      <t>.</t>
    </r>
  </si>
  <si>
    <t>Question 4: Explain the difference between a one-tailed and two-tailed test. Give an example of each.</t>
  </si>
  <si>
    <t>Example (One-tailed test):</t>
  </si>
  <si>
    <t>H₀: μ ≥ 30</t>
  </si>
  <si>
    <t>H₁: μ &lt; 30</t>
  </si>
  <si>
    <t>Example (Two-tailed test):</t>
  </si>
  <si>
    <t>H₀: μ = 30</t>
  </si>
  <si>
    <t>H₁: μ ≠ 30</t>
  </si>
  <si>
    <t>The rejection regions are divided between both tails of the distribution.</t>
  </si>
  <si>
    <t>A one-tailed test is used when the alternative hypothesis specifies a direction of effect. The entire rejection region lies in one tail of the sampling distribution.</t>
  </si>
  <si>
    <t>A company claims that the average delivery time is less than 30 minutes.</t>
  </si>
  <si>
    <t xml:space="preserve">A two-tailed test is used when the alternative hypothesis does not specify a direction, but only states that a difference exists. </t>
  </si>
  <si>
    <t>A company claims that the average delivery time is 30 minutes.</t>
  </si>
  <si>
    <t>Question 5: A company claims that the average time to resolve a customer complaint is 10 minutes.</t>
  </si>
  <si>
    <t>A random sample of 9 complaints gives an average time of 12 minutes and a standard deviation of 3 minutes.</t>
  </si>
  <si>
    <t>At α = 0.05, test the claim.</t>
  </si>
  <si>
    <t>Step 1: State the hypotheses</t>
  </si>
  <si>
    <t>Step 2: Choose the appropriate test</t>
  </si>
  <si>
    <t>Step 3: Level of significance</t>
  </si>
  <si>
    <t>α = 0.05</t>
  </si>
  <si>
    <t>Step 4: Calculate the test statistic</t>
  </si>
  <si>
    <t>Formula for t-statistic:</t>
  </si>
  <si>
    <t>Substitute values:</t>
  </si>
  <si>
    <t>t=x-μ/s/sqrt{n}</t>
  </si>
  <si>
    <t>t=12−10/3/sqrt{9}-2/1=2</t>
  </si>
  <si>
    <t>Step 5: Critical value</t>
  </si>
  <si>
    <t>Degrees of freedom (df) = n − 1 = 8</t>
  </si>
  <si>
    <t>Step 6: Decision rule</t>
  </si>
  <si>
    <t>Calculated t = 2</t>
  </si>
  <si>
    <t>Critical t = -2.306</t>
  </si>
  <si>
    <t>Step 7: Conclusion</t>
  </si>
  <si>
    <r>
      <t xml:space="preserve">Sample size </t>
    </r>
    <r>
      <rPr>
        <b/>
        <sz val="14"/>
        <color theme="1"/>
        <rFont val="Calibri"/>
        <family val="2"/>
      </rPr>
      <t>n = 9</t>
    </r>
    <r>
      <rPr>
        <sz val="14"/>
        <color theme="1"/>
        <rFont val="Calibri"/>
        <family val="2"/>
      </rPr>
      <t xml:space="preserve"> (small sample)</t>
    </r>
  </si>
  <si>
    <r>
      <t xml:space="preserve">Population standard deviation is </t>
    </r>
    <r>
      <rPr>
        <b/>
        <sz val="14"/>
        <color theme="1"/>
        <rFont val="Calibri"/>
        <family val="2"/>
      </rPr>
      <t>unknown</t>
    </r>
  </si>
  <si>
    <r>
      <t>For α = 0.05 (two-tailed)</t>
    </r>
    <r>
      <rPr>
        <b/>
        <sz val="14"/>
        <color theme="1"/>
        <rFont val="Calibri"/>
        <family val="2"/>
      </rPr>
      <t xml:space="preserve"> = -2.306</t>
    </r>
  </si>
  <si>
    <r>
      <t xml:space="preserve">Since </t>
    </r>
    <r>
      <rPr>
        <b/>
        <sz val="14"/>
        <color theme="1"/>
        <rFont val="Calibri"/>
        <family val="2"/>
      </rPr>
      <t>2 &lt; 2.306</t>
    </r>
    <r>
      <rPr>
        <sz val="14"/>
        <color theme="1"/>
        <rFont val="Calibri"/>
        <family val="2"/>
      </rPr>
      <t xml:space="preserve">, we </t>
    </r>
    <r>
      <rPr>
        <b/>
        <sz val="14"/>
        <color theme="1"/>
        <rFont val="Calibri"/>
        <family val="2"/>
      </rPr>
      <t>fail to reject H₀</t>
    </r>
    <r>
      <rPr>
        <sz val="14"/>
        <color theme="1"/>
        <rFont val="Calibri"/>
        <family val="2"/>
      </rPr>
      <t>.</t>
    </r>
  </si>
  <si>
    <r>
      <t xml:space="preserve">There is </t>
    </r>
    <r>
      <rPr>
        <b/>
        <sz val="14"/>
        <color theme="1"/>
        <rFont val="Calibri"/>
        <family val="2"/>
      </rPr>
      <t>not enough statistical evidence</t>
    </r>
    <r>
      <rPr>
        <sz val="14"/>
        <color theme="1"/>
        <rFont val="Calibri"/>
        <family val="2"/>
      </rPr>
      <t xml:space="preserve"> at the 5% significance level to reject the company’s claim.</t>
    </r>
  </si>
  <si>
    <t>Null hypothesis (H₀): μ = 10 minutes</t>
  </si>
  <si>
    <t>Alternative hypothesis (H₁): μ ≠ 10 minutes</t>
  </si>
  <si>
    <t>Question 6: When should you use a Z-test instead of a t-test?</t>
  </si>
  <si>
    <t>Hence, use a Z-test when population variability is known and the sample size is sufficiently large; otherwise, use a t-test.</t>
  </si>
  <si>
    <r>
      <t xml:space="preserve">A </t>
    </r>
    <r>
      <rPr>
        <b/>
        <sz val="14"/>
        <color theme="1"/>
        <rFont val="Calibri"/>
        <family val="2"/>
      </rPr>
      <t>Z-test</t>
    </r>
    <r>
      <rPr>
        <sz val="14"/>
        <color theme="1"/>
        <rFont val="Calibri"/>
        <family val="2"/>
      </rPr>
      <t xml:space="preserve"> should be used instead of a </t>
    </r>
    <r>
      <rPr>
        <b/>
        <sz val="14"/>
        <color theme="1"/>
        <rFont val="Calibri"/>
        <family val="2"/>
      </rPr>
      <t>t-test</t>
    </r>
    <r>
      <rPr>
        <sz val="14"/>
        <color theme="1"/>
        <rFont val="Calibri"/>
        <family val="2"/>
      </rPr>
      <t xml:space="preserve"> under the following conditions:</t>
    </r>
  </si>
  <si>
    <r>
      <t xml:space="preserve">The </t>
    </r>
    <r>
      <rPr>
        <b/>
        <sz val="14"/>
        <color theme="1"/>
        <rFont val="Calibri"/>
        <family val="2"/>
      </rPr>
      <t>sample size is large</t>
    </r>
    <r>
      <rPr>
        <sz val="14"/>
        <color theme="1"/>
        <rFont val="Calibri"/>
        <family val="2"/>
      </rPr>
      <t xml:space="preserve"> (n ≥ 30).</t>
    </r>
  </si>
  <si>
    <r>
      <t xml:space="preserve">The </t>
    </r>
    <r>
      <rPr>
        <b/>
        <sz val="14"/>
        <color theme="1"/>
        <rFont val="Calibri"/>
        <family val="2"/>
      </rPr>
      <t>population standard deviation (σ) is known</t>
    </r>
    <r>
      <rPr>
        <sz val="14"/>
        <color theme="1"/>
        <rFont val="Calibri"/>
        <family val="2"/>
      </rPr>
      <t>.</t>
    </r>
  </si>
  <si>
    <r>
      <t xml:space="preserve">The data is </t>
    </r>
    <r>
      <rPr>
        <b/>
        <sz val="14"/>
        <color theme="1"/>
        <rFont val="Calibri"/>
        <family val="2"/>
      </rPr>
      <t>approximately normally distributed</t>
    </r>
    <r>
      <rPr>
        <sz val="14"/>
        <color theme="1"/>
        <rFont val="Calibri"/>
        <family val="2"/>
      </rPr>
      <t xml:space="preserve"> (or the sample size is large enough for the Central Limit Theorem to apply).</t>
    </r>
  </si>
  <si>
    <r>
      <t xml:space="preserve">In contrast, a </t>
    </r>
    <r>
      <rPr>
        <b/>
        <sz val="14"/>
        <color theme="1"/>
        <rFont val="Calibri"/>
        <family val="2"/>
      </rPr>
      <t>t-test</t>
    </r>
    <r>
      <rPr>
        <sz val="14"/>
        <color theme="1"/>
        <rFont val="Calibri"/>
        <family val="2"/>
      </rPr>
      <t xml:space="preserve"> is used when:</t>
    </r>
  </si>
  <si>
    <r>
      <t xml:space="preserve">The sample size is </t>
    </r>
    <r>
      <rPr>
        <b/>
        <sz val="14"/>
        <color theme="1"/>
        <rFont val="Calibri"/>
        <family val="2"/>
      </rPr>
      <t>small (n &lt; 30)</t>
    </r>
    <r>
      <rPr>
        <sz val="14"/>
        <color theme="1"/>
        <rFont val="Calibri"/>
        <family val="2"/>
      </rPr>
      <t>.</t>
    </r>
  </si>
  <si>
    <r>
      <t xml:space="preserve">The population standard deviation is </t>
    </r>
    <r>
      <rPr>
        <b/>
        <sz val="14"/>
        <color theme="1"/>
        <rFont val="Calibri"/>
        <family val="2"/>
      </rPr>
      <t>unknown</t>
    </r>
    <r>
      <rPr>
        <sz val="14"/>
        <color theme="1"/>
        <rFont val="Calibri"/>
        <family val="2"/>
      </rPr>
      <t>.</t>
    </r>
  </si>
  <si>
    <t>Question 7: The productivity of 6 employees was measured before and after a training program.</t>
  </si>
  <si>
    <t>Employee</t>
  </si>
  <si>
    <t>Before</t>
  </si>
  <si>
    <t>After</t>
  </si>
  <si>
    <t>At α = 0.05, test if the training improved productivity.</t>
  </si>
  <si>
    <t>Step 2: Choose the test</t>
  </si>
  <si>
    <t>Small sample size (n = 6)</t>
  </si>
  <si>
    <t>Difference (d)</t>
  </si>
  <si>
    <t>Step 3: Calculate the differences (After − Before)</t>
  </si>
  <si>
    <t>Mean difference:</t>
  </si>
  <si>
    <t>d=5+5+1+3+1+3/6=3</t>
  </si>
  <si>
    <t>Step 4: Calculate standard deviation of differences</t>
  </si>
  <si>
    <t>sd=1.79  (approx)s_d = 1.79 \;(\text{approx})sd​=1.79(approx)</t>
  </si>
  <si>
    <t>Step 5: Calculate t-statistic</t>
  </si>
  <si>
    <t>t=d/std/squrt{n} = 3/1.79/sqrt/{6} =4.11</t>
  </si>
  <si>
    <t>Step 6: Critical value</t>
  </si>
  <si>
    <t>Degrees of freedom: df = 6 − 1 = 5</t>
  </si>
  <si>
    <t>α = 0.05 (one-tailed)</t>
  </si>
  <si>
    <t>Critical t-value = 2.015</t>
  </si>
  <si>
    <t>Step 7: Decision</t>
  </si>
  <si>
    <t>Calculated t = 4.11</t>
  </si>
  <si>
    <t>Critical t = 2.015</t>
  </si>
  <si>
    <t>Step 8: Conclusion</t>
  </si>
  <si>
    <r>
      <t xml:space="preserve">Since we are checking </t>
    </r>
    <r>
      <rPr>
        <b/>
        <sz val="14"/>
        <color theme="1"/>
        <rFont val="Calibri"/>
        <family val="2"/>
      </rPr>
      <t>improvement</t>
    </r>
    <r>
      <rPr>
        <sz val="14"/>
        <color theme="1"/>
        <rFont val="Calibri"/>
        <family val="2"/>
      </rPr>
      <t xml:space="preserve">, this is a </t>
    </r>
    <r>
      <rPr>
        <b/>
        <sz val="14"/>
        <color theme="1"/>
        <rFont val="Calibri"/>
        <family val="2"/>
      </rPr>
      <t>one-tailed test</t>
    </r>
    <r>
      <rPr>
        <sz val="14"/>
        <color theme="1"/>
        <rFont val="Calibri"/>
        <family val="2"/>
      </rPr>
      <t>.</t>
    </r>
  </si>
  <si>
    <r>
      <t>H₀:</t>
    </r>
    <r>
      <rPr>
        <sz val="14"/>
        <color theme="1"/>
        <rFont val="Calibri"/>
        <family val="2"/>
      </rPr>
      <t xml:space="preserve"> μd = 0 (No improvement in productivity)</t>
    </r>
  </si>
  <si>
    <r>
      <t>H₁:</t>
    </r>
    <r>
      <rPr>
        <sz val="14"/>
        <color theme="1"/>
        <rFont val="Calibri"/>
        <family val="2"/>
      </rPr>
      <t xml:space="preserve"> μd &gt; 0 (Productivity improved after training)</t>
    </r>
  </si>
  <si>
    <r>
      <t xml:space="preserve">Same employees measured </t>
    </r>
    <r>
      <rPr>
        <b/>
        <sz val="14"/>
        <color theme="1"/>
        <rFont val="Calibri"/>
        <family val="2"/>
      </rPr>
      <t>before and after</t>
    </r>
  </si>
  <si>
    <r>
      <t xml:space="preserve">Since </t>
    </r>
    <r>
      <rPr>
        <b/>
        <sz val="14"/>
        <color theme="1"/>
        <rFont val="Calibri"/>
        <family val="2"/>
      </rPr>
      <t>4.11 &gt; 2.015</t>
    </r>
    <r>
      <rPr>
        <sz val="14"/>
        <color theme="1"/>
        <rFont val="Calibri"/>
        <family val="2"/>
      </rPr>
      <t xml:space="preserve">, we </t>
    </r>
    <r>
      <rPr>
        <b/>
        <sz val="14"/>
        <color theme="1"/>
        <rFont val="Calibri"/>
        <family val="2"/>
      </rPr>
      <t>reject H₀</t>
    </r>
    <r>
      <rPr>
        <sz val="14"/>
        <color theme="1"/>
        <rFont val="Calibri"/>
        <family val="2"/>
      </rPr>
      <t>.</t>
    </r>
  </si>
  <si>
    <r>
      <t xml:space="preserve">There is </t>
    </r>
    <r>
      <rPr>
        <b/>
        <sz val="14"/>
        <color theme="1"/>
        <rFont val="Calibri"/>
        <family val="2"/>
      </rPr>
      <t>sufficient statistical evidence</t>
    </r>
    <r>
      <rPr>
        <sz val="14"/>
        <color theme="1"/>
        <rFont val="Calibri"/>
        <family val="2"/>
      </rPr>
      <t xml:space="preserve"> at the 5% significance level to conclude that the </t>
    </r>
    <r>
      <rPr>
        <b/>
        <sz val="14"/>
        <color theme="1"/>
        <rFont val="Calibri"/>
        <family val="2"/>
      </rPr>
      <t>training program improved employee productivity</t>
    </r>
    <r>
      <rPr>
        <sz val="14"/>
        <color theme="1"/>
        <rFont val="Calibri"/>
        <family val="2"/>
      </rPr>
      <t>.</t>
    </r>
  </si>
  <si>
    <t>Question 8: A company wants to test if product preference is independent of gender.</t>
  </si>
  <si>
    <t>Gender</t>
  </si>
  <si>
    <t>Product A</t>
  </si>
  <si>
    <t>Product B</t>
  </si>
  <si>
    <t>Total</t>
  </si>
  <si>
    <t>Male</t>
  </si>
  <si>
    <t>Female</t>
  </si>
  <si>
    <t>At α = 0.05, test independence</t>
  </si>
  <si>
    <t>Row Total</t>
  </si>
  <si>
    <t>Column Total</t>
  </si>
  <si>
    <t>Step 2: Calculate Expected Frequencies</t>
  </si>
  <si>
    <t>Expected Formula:</t>
  </si>
  <si>
    <t>E=(Row Total×Column Total) /Total</t>
  </si>
  <si>
    <t>Expected</t>
  </si>
  <si>
    <t>Step 3: Calculate Chi-Square Components</t>
  </si>
  <si>
    <t>Formula:</t>
  </si>
  <si>
    <t>(O−E)sqre\E</t>
  </si>
  <si>
    <t>Chi-Square Values</t>
  </si>
  <si>
    <t>Step 4: Calculate Chi-Square Statistic</t>
  </si>
  <si>
    <t>Step 5: Degrees of Freedom</t>
  </si>
  <si>
    <t>df = 1</t>
  </si>
  <si>
    <t>Step 6: Critical Value</t>
  </si>
  <si>
    <t>Critical Value = 3.841</t>
  </si>
  <si>
    <t>Since the calculated chi-square value (4.76) is greater than the critical value (3.841), we reject the null hypothesis.</t>
  </si>
  <si>
    <r>
      <t>Result:</t>
    </r>
    <r>
      <rPr>
        <sz val="14"/>
        <color theme="1"/>
        <rFont val="Calibri"/>
        <family val="2"/>
      </rPr>
      <t xml:space="preserve"> χ² =</t>
    </r>
    <r>
      <rPr>
        <b/>
        <sz val="14"/>
        <color theme="1"/>
        <rFont val="Calibri"/>
        <family val="2"/>
      </rPr>
      <t xml:space="preserve"> 6.94</t>
    </r>
  </si>
  <si>
    <r>
      <t>Decision:</t>
    </r>
    <r>
      <rPr>
        <sz val="14"/>
        <color theme="1"/>
        <rFont val="Calibri"/>
        <family val="2"/>
      </rPr>
      <t xml:space="preserve"> Reject H0</t>
    </r>
  </si>
  <si>
    <r>
      <t xml:space="preserve">Therefore, product preference is </t>
    </r>
    <r>
      <rPr>
        <b/>
        <sz val="14"/>
        <color theme="1"/>
        <rFont val="Calibri"/>
        <family val="2"/>
      </rPr>
      <t>dependent on gender</t>
    </r>
    <r>
      <rPr>
        <sz val="14"/>
        <color theme="1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</si>
</sst>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✔\ 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/>
    </xf>
    <xf numFmtId="168" fontId="0" fillId="0" borderId="0" xfId="0" applyNumberFormat="1"/>
    <xf numFmtId="0" fontId="3" fillId="0" borderId="0" xfId="0" applyFont="1"/>
    <xf numFmtId="168" fontId="3" fillId="0" borderId="0" xfId="0" applyNumberFormat="1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 indent="1"/>
    </xf>
    <xf numFmtId="168" fontId="3" fillId="0" borderId="0" xfId="0" applyNumberFormat="1" applyFont="1" applyAlignment="1">
      <alignment horizontal="left" vertical="center" indent="1"/>
    </xf>
    <xf numFmtId="0" fontId="4" fillId="3" borderId="0" xfId="0" applyFont="1" applyFill="1"/>
    <xf numFmtId="0" fontId="1" fillId="3" borderId="0" xfId="0" applyFont="1" applyFill="1"/>
    <xf numFmtId="0" fontId="0" fillId="0" borderId="0" xfId="0" applyFont="1"/>
    <xf numFmtId="0" fontId="3" fillId="0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4" borderId="0" xfId="0" applyFont="1" applyFill="1"/>
    <xf numFmtId="0" fontId="0" fillId="4" borderId="0" xfId="0" applyFill="1"/>
    <xf numFmtId="168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2" fontId="3" fillId="4" borderId="0" xfId="0" applyNumberFormat="1" applyFont="1" applyFill="1" applyAlignment="1">
      <alignment horizontal="left" indent="10"/>
    </xf>
    <xf numFmtId="0" fontId="4" fillId="4" borderId="0" xfId="0" applyFont="1" applyFill="1"/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FC04-1330-49A5-B34B-AB0180030D4F}">
  <dimension ref="A1:K17"/>
  <sheetViews>
    <sheetView tabSelected="1" workbookViewId="0">
      <selection activeCell="A5" sqref="A5"/>
    </sheetView>
  </sheetViews>
  <sheetFormatPr defaultRowHeight="15" x14ac:dyDescent="0.25"/>
  <sheetData>
    <row r="1" spans="1:11" ht="21" x14ac:dyDescent="0.35">
      <c r="F1" s="1" t="s">
        <v>0</v>
      </c>
      <c r="G1" s="1"/>
      <c r="H1" s="1"/>
    </row>
    <row r="3" spans="1:11" ht="18.75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8.75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8.75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spans="1:11" ht="18.75" x14ac:dyDescent="0.3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</row>
    <row r="7" spans="1:11" ht="18.75" x14ac:dyDescent="0.3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</row>
    <row r="8" spans="1:11" ht="18.75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1" ht="18.75" x14ac:dyDescent="0.3">
      <c r="A9" s="7" t="s">
        <v>4</v>
      </c>
      <c r="B9" s="7"/>
      <c r="C9" s="7"/>
      <c r="D9" s="7"/>
      <c r="E9" s="7"/>
      <c r="F9" s="3"/>
      <c r="G9" s="3"/>
      <c r="H9" s="3"/>
      <c r="I9" s="3"/>
      <c r="J9" s="3"/>
    </row>
    <row r="10" spans="1:11" ht="18.7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1" ht="18.75" x14ac:dyDescent="0.3">
      <c r="A11" s="4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2"/>
    </row>
    <row r="12" spans="1:11" ht="18.7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2"/>
    </row>
    <row r="13" spans="1:11" ht="18.75" x14ac:dyDescent="0.3">
      <c r="A13" s="4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2"/>
    </row>
    <row r="14" spans="1:11" ht="18.7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2"/>
    </row>
    <row r="15" spans="1:11" ht="18.75" x14ac:dyDescent="0.3">
      <c r="A15" s="4" t="s">
        <v>8</v>
      </c>
      <c r="B15" s="4"/>
      <c r="C15" s="4"/>
      <c r="D15" s="4"/>
      <c r="E15" s="4"/>
      <c r="F15" s="4"/>
      <c r="G15" s="4"/>
      <c r="H15" s="4"/>
      <c r="I15" s="4"/>
      <c r="J15" s="4"/>
      <c r="K15" s="2"/>
    </row>
    <row r="16" spans="1:11" ht="18.7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2"/>
    </row>
    <row r="17" spans="1:11" ht="18.75" x14ac:dyDescent="0.3">
      <c r="A17" s="4" t="s">
        <v>9</v>
      </c>
      <c r="B17" s="4"/>
      <c r="C17" s="4"/>
      <c r="D17" s="4"/>
      <c r="E17" s="4"/>
      <c r="F17" s="4"/>
      <c r="G17" s="4"/>
      <c r="H17" s="4"/>
      <c r="I17" s="4"/>
      <c r="J17" s="4"/>
      <c r="K17" s="2"/>
    </row>
  </sheetData>
  <mergeCells count="1"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C0A-95A9-48F7-948C-243E18E57CEA}">
  <dimension ref="A2:N18"/>
  <sheetViews>
    <sheetView workbookViewId="0">
      <selection activeCell="A4" sqref="A4"/>
    </sheetView>
  </sheetViews>
  <sheetFormatPr defaultRowHeight="15" x14ac:dyDescent="0.25"/>
  <sheetData>
    <row r="2" spans="1:14" ht="18.75" x14ac:dyDescent="0.3">
      <c r="A2" s="11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3"/>
      <c r="L2" s="3"/>
      <c r="M2" s="3"/>
      <c r="N2" s="3"/>
    </row>
    <row r="3" spans="1:14" ht="18.7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8.75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8.75" x14ac:dyDescent="0.3">
      <c r="A5" s="3" t="s">
        <v>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8.75" x14ac:dyDescent="0.3">
      <c r="A6" s="3" t="s">
        <v>11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8.7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8.75" x14ac:dyDescent="0.3">
      <c r="A8" s="7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8.75" x14ac:dyDescent="0.3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8.75" x14ac:dyDescent="0.3">
      <c r="A10" s="10" t="s">
        <v>14</v>
      </c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</row>
    <row r="11" spans="1:14" ht="18.75" x14ac:dyDescent="0.3">
      <c r="A11" s="10"/>
      <c r="B11" s="4"/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</row>
    <row r="12" spans="1:14" ht="18.75" x14ac:dyDescent="0.3">
      <c r="A12" s="10" t="s">
        <v>15</v>
      </c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</row>
    <row r="13" spans="1:14" ht="18.75" x14ac:dyDescent="0.3">
      <c r="A13" s="10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</row>
    <row r="14" spans="1:14" ht="18.75" x14ac:dyDescent="0.3">
      <c r="A14" s="10" t="s">
        <v>16</v>
      </c>
      <c r="B14" s="4"/>
      <c r="C14" s="4"/>
      <c r="D14" s="4"/>
      <c r="E14" s="4"/>
      <c r="F14" s="4"/>
      <c r="G14" s="4"/>
      <c r="H14" s="4"/>
      <c r="I14" s="3"/>
      <c r="J14" s="3"/>
      <c r="K14" s="3"/>
      <c r="L14" s="3"/>
      <c r="M14" s="3"/>
      <c r="N14" s="3"/>
    </row>
    <row r="15" spans="1:14" ht="18.75" x14ac:dyDescent="0.3">
      <c r="A15" s="10"/>
      <c r="B15" s="4"/>
      <c r="C15" s="4"/>
      <c r="D15" s="4"/>
      <c r="E15" s="4"/>
      <c r="F15" s="4"/>
      <c r="G15" s="4"/>
      <c r="H15" s="4"/>
      <c r="I15" s="3"/>
      <c r="J15" s="3"/>
      <c r="K15" s="3"/>
      <c r="L15" s="3"/>
      <c r="M15" s="3"/>
      <c r="N15" s="3"/>
    </row>
    <row r="16" spans="1:14" ht="18.75" x14ac:dyDescent="0.3">
      <c r="A16" s="10" t="s">
        <v>17</v>
      </c>
      <c r="B16" s="4"/>
      <c r="C16" s="4"/>
      <c r="D16" s="4"/>
      <c r="E16" s="4"/>
      <c r="F16" s="4"/>
      <c r="G16" s="4"/>
      <c r="H16" s="4"/>
      <c r="I16" s="3"/>
      <c r="J16" s="3"/>
      <c r="K16" s="3"/>
      <c r="L16" s="3"/>
      <c r="M16" s="3"/>
      <c r="N16" s="3"/>
    </row>
    <row r="17" spans="1:14" ht="18.7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8.7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8478-D293-4D79-953F-DF13F6194A4B}">
  <dimension ref="A2:L21"/>
  <sheetViews>
    <sheetView workbookViewId="0">
      <selection activeCell="A4" sqref="A4"/>
    </sheetView>
  </sheetViews>
  <sheetFormatPr defaultRowHeight="15" x14ac:dyDescent="0.25"/>
  <sheetData>
    <row r="2" spans="1:12" ht="18.75" x14ac:dyDescent="0.3">
      <c r="A2" s="11" t="s">
        <v>18</v>
      </c>
      <c r="B2" s="11"/>
      <c r="C2" s="11"/>
      <c r="D2" s="11"/>
      <c r="E2" s="11"/>
      <c r="F2" s="11"/>
      <c r="G2" s="11"/>
      <c r="H2" s="11"/>
      <c r="I2" s="3"/>
      <c r="J2" s="3"/>
      <c r="K2" s="3"/>
      <c r="L2" s="8"/>
    </row>
    <row r="3" spans="1:12" ht="18.7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8"/>
    </row>
    <row r="4" spans="1:12" ht="18.75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8"/>
    </row>
    <row r="5" spans="1:12" ht="18.75" x14ac:dyDescent="0.3">
      <c r="A5" s="3" t="s">
        <v>21</v>
      </c>
      <c r="B5" s="3"/>
      <c r="C5" s="3"/>
      <c r="D5" s="3"/>
      <c r="E5" s="3"/>
      <c r="F5" s="3"/>
      <c r="G5" s="3"/>
      <c r="H5" s="3"/>
      <c r="I5" s="3"/>
      <c r="J5" s="3"/>
      <c r="K5" s="3"/>
      <c r="L5" s="8"/>
    </row>
    <row r="6" spans="1:12" ht="18.7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"/>
    </row>
    <row r="7" spans="1:12" ht="18.75" x14ac:dyDescent="0.3">
      <c r="A7" s="7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8"/>
    </row>
    <row r="8" spans="1:12" ht="18.75" x14ac:dyDescent="0.3">
      <c r="A8" s="9"/>
      <c r="B8" s="3"/>
      <c r="C8" s="3"/>
      <c r="D8" s="3"/>
      <c r="E8" s="3"/>
      <c r="F8" s="3"/>
      <c r="G8" s="3"/>
      <c r="H8" s="3"/>
      <c r="I8" s="3"/>
      <c r="J8" s="3"/>
      <c r="K8" s="3"/>
      <c r="L8" s="8"/>
    </row>
    <row r="9" spans="1:12" ht="18.75" x14ac:dyDescent="0.3">
      <c r="A9" s="10" t="s">
        <v>22</v>
      </c>
      <c r="B9" s="4"/>
      <c r="C9" s="4"/>
      <c r="D9" s="4"/>
      <c r="E9" s="4"/>
      <c r="F9" s="4"/>
      <c r="G9" s="4"/>
      <c r="H9" s="4"/>
      <c r="I9" s="4"/>
      <c r="J9" s="3"/>
      <c r="K9" s="3"/>
      <c r="L9" s="8"/>
    </row>
    <row r="10" spans="1:12" ht="18.75" x14ac:dyDescent="0.3">
      <c r="A10" s="10"/>
      <c r="B10" s="4"/>
      <c r="C10" s="4"/>
      <c r="D10" s="4"/>
      <c r="E10" s="4"/>
      <c r="F10" s="4"/>
      <c r="G10" s="4"/>
      <c r="H10" s="4"/>
      <c r="I10" s="4"/>
      <c r="J10" s="3"/>
      <c r="K10" s="3"/>
      <c r="L10" s="8"/>
    </row>
    <row r="11" spans="1:12" ht="18.75" x14ac:dyDescent="0.3">
      <c r="A11" s="10" t="s">
        <v>23</v>
      </c>
      <c r="B11" s="4"/>
      <c r="C11" s="4"/>
      <c r="D11" s="4"/>
      <c r="E11" s="4"/>
      <c r="F11" s="4"/>
      <c r="G11" s="4"/>
      <c r="H11" s="4"/>
      <c r="I11" s="4"/>
      <c r="J11" s="3"/>
      <c r="K11" s="3"/>
      <c r="L11" s="8"/>
    </row>
    <row r="12" spans="1:12" ht="18.75" x14ac:dyDescent="0.3">
      <c r="A12" s="10"/>
      <c r="B12" s="4"/>
      <c r="C12" s="4"/>
      <c r="D12" s="4"/>
      <c r="E12" s="4"/>
      <c r="F12" s="4"/>
      <c r="G12" s="4"/>
      <c r="H12" s="4"/>
      <c r="I12" s="4"/>
      <c r="J12" s="3"/>
      <c r="K12" s="3"/>
      <c r="L12" s="8"/>
    </row>
    <row r="13" spans="1:12" ht="18.75" x14ac:dyDescent="0.3">
      <c r="A13" s="10" t="s">
        <v>24</v>
      </c>
      <c r="B13" s="4"/>
      <c r="C13" s="4"/>
      <c r="D13" s="4"/>
      <c r="E13" s="4"/>
      <c r="F13" s="4"/>
      <c r="G13" s="4"/>
      <c r="H13" s="4"/>
      <c r="I13" s="4"/>
      <c r="J13" s="3"/>
      <c r="K13" s="3"/>
      <c r="L13" s="8"/>
    </row>
    <row r="14" spans="1:12" ht="18.7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8"/>
    </row>
    <row r="15" spans="1:12" ht="18.75" x14ac:dyDescent="0.3">
      <c r="A15" s="7" t="s">
        <v>20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8"/>
    </row>
    <row r="16" spans="1:12" ht="18.75" x14ac:dyDescent="0.3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8"/>
    </row>
    <row r="17" spans="1:12" ht="18.75" x14ac:dyDescent="0.3">
      <c r="A17" s="10" t="s">
        <v>25</v>
      </c>
      <c r="B17" s="4"/>
      <c r="C17" s="4"/>
      <c r="D17" s="4"/>
      <c r="E17" s="4"/>
      <c r="F17" s="4"/>
      <c r="G17" s="4"/>
      <c r="H17" s="4"/>
      <c r="I17" s="3"/>
      <c r="J17" s="3"/>
      <c r="K17" s="3"/>
      <c r="L17" s="8"/>
    </row>
    <row r="18" spans="1:12" ht="18.75" x14ac:dyDescent="0.3">
      <c r="A18" s="10"/>
      <c r="B18" s="4"/>
      <c r="C18" s="4"/>
      <c r="D18" s="4"/>
      <c r="E18" s="4"/>
      <c r="F18" s="4"/>
      <c r="G18" s="4"/>
      <c r="H18" s="4"/>
      <c r="I18" s="3"/>
      <c r="J18" s="3"/>
      <c r="K18" s="3"/>
      <c r="L18" s="8"/>
    </row>
    <row r="19" spans="1:12" ht="18.75" x14ac:dyDescent="0.3">
      <c r="A19" s="10" t="s">
        <v>26</v>
      </c>
      <c r="B19" s="4"/>
      <c r="C19" s="4"/>
      <c r="D19" s="4"/>
      <c r="E19" s="4"/>
      <c r="F19" s="4"/>
      <c r="G19" s="4"/>
      <c r="H19" s="4"/>
      <c r="I19" s="3"/>
      <c r="J19" s="3"/>
      <c r="K19" s="3"/>
      <c r="L19" s="8"/>
    </row>
    <row r="20" spans="1:12" ht="18.75" x14ac:dyDescent="0.3">
      <c r="A20" s="10"/>
      <c r="B20" s="4"/>
      <c r="C20" s="4"/>
      <c r="D20" s="4"/>
      <c r="E20" s="4"/>
      <c r="F20" s="4"/>
      <c r="G20" s="4"/>
      <c r="H20" s="4"/>
      <c r="I20" s="3"/>
      <c r="J20" s="3"/>
      <c r="K20" s="3"/>
      <c r="L20" s="8"/>
    </row>
    <row r="21" spans="1:12" ht="18.75" x14ac:dyDescent="0.3">
      <c r="A21" s="10" t="s">
        <v>27</v>
      </c>
      <c r="B21" s="4"/>
      <c r="C21" s="4"/>
      <c r="D21" s="4"/>
      <c r="E21" s="4"/>
      <c r="F21" s="4"/>
      <c r="G21" s="4"/>
      <c r="H21" s="4"/>
      <c r="I21" s="3"/>
      <c r="J21" s="3"/>
      <c r="K21" s="3"/>
      <c r="L2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FA2D-BCF0-41B2-87D6-9CDACA43021C}">
  <dimension ref="A2:Q18"/>
  <sheetViews>
    <sheetView workbookViewId="0">
      <selection activeCell="A4" sqref="A4"/>
    </sheetView>
  </sheetViews>
  <sheetFormatPr defaultRowHeight="15" x14ac:dyDescent="0.25"/>
  <sheetData>
    <row r="2" spans="1:17" ht="18.75" x14ac:dyDescent="0.3">
      <c r="A2" s="11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</row>
    <row r="3" spans="1:17" ht="18.7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.75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8.75" x14ac:dyDescent="0.3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8.7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8.75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8.75" x14ac:dyDescent="0.3">
      <c r="A8" s="3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8.75" x14ac:dyDescent="0.3">
      <c r="A9" s="3" t="s">
        <v>30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8.75" x14ac:dyDescent="0.3">
      <c r="A10" s="3" t="s">
        <v>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8.7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8.75" x14ac:dyDescent="0.3">
      <c r="A12" s="3" t="s">
        <v>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8.75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8.75" x14ac:dyDescent="0.3">
      <c r="A14" s="13"/>
      <c r="B14" s="13"/>
      <c r="C14" s="13"/>
      <c r="D14" s="13"/>
      <c r="E14" s="13"/>
      <c r="F14" s="13"/>
      <c r="G14" s="13"/>
      <c r="H14" s="13"/>
      <c r="I14" s="13"/>
      <c r="J14" s="3"/>
      <c r="K14" s="3"/>
      <c r="L14" s="3"/>
      <c r="M14" s="3"/>
      <c r="N14" s="3"/>
      <c r="O14" s="3"/>
      <c r="P14" s="3"/>
      <c r="Q14" s="3"/>
    </row>
    <row r="15" spans="1:17" ht="18.75" x14ac:dyDescent="0.3">
      <c r="A15" s="3" t="s">
        <v>32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8.75" x14ac:dyDescent="0.3">
      <c r="A16" s="3" t="s">
        <v>39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8.75" x14ac:dyDescent="0.3">
      <c r="A17" s="3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8.75" x14ac:dyDescent="0.3">
      <c r="A18" s="3" t="s">
        <v>34</v>
      </c>
      <c r="B18" s="3"/>
      <c r="C18" s="3"/>
      <c r="D18" s="3"/>
      <c r="E18" s="3"/>
      <c r="F18" s="3"/>
      <c r="G18" s="3"/>
      <c r="H18" s="3"/>
      <c r="I18" s="3"/>
      <c r="J18" s="13"/>
      <c r="K18" s="13"/>
      <c r="L18" s="13"/>
      <c r="M18" s="13"/>
      <c r="N18" s="13"/>
      <c r="O18" s="13"/>
      <c r="P18" s="13"/>
      <c r="Q18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90C4-C5D0-4D6A-B0DE-B206D2DE01B4}">
  <dimension ref="A2:N59"/>
  <sheetViews>
    <sheetView workbookViewId="0">
      <selection activeCell="A6" sqref="A6"/>
    </sheetView>
  </sheetViews>
  <sheetFormatPr defaultRowHeight="15" x14ac:dyDescent="0.25"/>
  <sheetData>
    <row r="2" spans="1:14" ht="18.75" x14ac:dyDescent="0.3">
      <c r="A2" s="11" t="s">
        <v>40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6"/>
      <c r="M2" s="6"/>
      <c r="N2" s="6"/>
    </row>
    <row r="3" spans="1:14" ht="18.75" x14ac:dyDescent="0.3">
      <c r="A3" s="11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6"/>
      <c r="M3" s="6"/>
      <c r="N3" s="6"/>
    </row>
    <row r="4" spans="1:14" ht="18.75" x14ac:dyDescent="0.3">
      <c r="A4" s="11" t="s">
        <v>42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6"/>
      <c r="M4" s="6"/>
      <c r="N4" s="6"/>
    </row>
    <row r="6" spans="1:14" ht="18.75" x14ac:dyDescent="0.3">
      <c r="A6" s="14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ht="18.75" x14ac:dyDescent="0.3">
      <c r="A7" s="19" t="s">
        <v>43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ht="18.75" x14ac:dyDescent="0.3">
      <c r="A8" s="9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ht="18.75" x14ac:dyDescent="0.3">
      <c r="A9" s="9" t="s">
        <v>63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ht="18.75" x14ac:dyDescent="0.3">
      <c r="A10" s="9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ht="18.75" x14ac:dyDescent="0.3">
      <c r="A11" s="9" t="s">
        <v>64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ht="18.7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ht="18.75" x14ac:dyDescent="0.3">
      <c r="A13" s="19" t="s">
        <v>44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ht="18.75" x14ac:dyDescent="0.3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4" ht="18.75" x14ac:dyDescent="0.3">
      <c r="A15" s="9" t="s">
        <v>58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4" ht="18.75" x14ac:dyDescent="0.3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8.75" x14ac:dyDescent="0.3">
      <c r="A17" s="9" t="s">
        <v>59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8.7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8.75" x14ac:dyDescent="0.3">
      <c r="A19" s="19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8.75" x14ac:dyDescent="0.3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.75" x14ac:dyDescent="0.3">
      <c r="A21" s="9" t="s">
        <v>46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.75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8.75" x14ac:dyDescent="0.3">
      <c r="A23" s="19" t="s">
        <v>47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8.75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8.75" x14ac:dyDescent="0.3">
      <c r="A25" s="3" t="s">
        <v>48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8.7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8.75" x14ac:dyDescent="0.3">
      <c r="A27" s="3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8.75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8.75" x14ac:dyDescent="0.3">
      <c r="A29" s="3" t="s">
        <v>49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8.7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8.75" x14ac:dyDescent="0.3">
      <c r="A31" s="3" t="s">
        <v>51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8.75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8.75" x14ac:dyDescent="0.3">
      <c r="A33" s="19" t="s">
        <v>52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8.75" x14ac:dyDescent="0.3">
      <c r="A34" s="9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8.75" x14ac:dyDescent="0.3">
      <c r="A35" s="9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8.75" x14ac:dyDescent="0.3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8.75" x14ac:dyDescent="0.3">
      <c r="A37" s="9" t="s">
        <v>60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8.75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8.75" x14ac:dyDescent="0.3">
      <c r="A39" s="19" t="s">
        <v>54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8.75" x14ac:dyDescent="0.3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8.75" x14ac:dyDescent="0.3">
      <c r="A41" s="9" t="s">
        <v>55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8.75" x14ac:dyDescent="0.3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8.75" x14ac:dyDescent="0.3">
      <c r="A43" s="9" t="s">
        <v>56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8.75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8.75" x14ac:dyDescent="0.3">
      <c r="A45" s="3" t="s">
        <v>61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8.7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8.75" x14ac:dyDescent="0.3">
      <c r="A47" s="19" t="s">
        <v>57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8.7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ht="18.75" x14ac:dyDescent="0.3">
      <c r="A49" s="17" t="s">
        <v>62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8"/>
    </row>
    <row r="50" spans="1:12" ht="18.7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2" ht="18.7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2" ht="18.7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2" ht="18.7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2" ht="18.7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2" ht="18.7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2" ht="18.7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ht="18.7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ht="18.7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ht="18.7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BF0F-0185-4FEF-A422-E6789D57D00C}">
  <dimension ref="A2:M19"/>
  <sheetViews>
    <sheetView workbookViewId="0">
      <selection activeCell="A4" sqref="A4"/>
    </sheetView>
  </sheetViews>
  <sheetFormatPr defaultRowHeight="15" x14ac:dyDescent="0.25"/>
  <sheetData>
    <row r="2" spans="1:13" ht="18.75" x14ac:dyDescent="0.3">
      <c r="A2" s="11" t="s">
        <v>65</v>
      </c>
      <c r="B2" s="11"/>
      <c r="C2" s="11"/>
      <c r="D2" s="11"/>
      <c r="E2" s="11"/>
      <c r="F2" s="11"/>
      <c r="G2" s="11"/>
      <c r="H2" s="11"/>
      <c r="I2" s="3"/>
      <c r="J2" s="3"/>
      <c r="K2" s="3"/>
      <c r="L2" s="3"/>
      <c r="M2" s="3"/>
    </row>
    <row r="3" spans="1:13" ht="18.7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8.75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8.75" x14ac:dyDescent="0.3">
      <c r="A5" s="3" t="s">
        <v>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8.75" x14ac:dyDescent="0.3">
      <c r="A6" s="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.75" x14ac:dyDescent="0.3">
      <c r="A7" s="10" t="s">
        <v>68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.75" x14ac:dyDescent="0.3">
      <c r="A8" s="1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.75" x14ac:dyDescent="0.3">
      <c r="A9" s="10" t="s">
        <v>69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.75" x14ac:dyDescent="0.3">
      <c r="A10" s="1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.75" x14ac:dyDescent="0.3">
      <c r="A11" s="10" t="s">
        <v>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.7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.75" x14ac:dyDescent="0.3">
      <c r="A13" s="3" t="s">
        <v>71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.75" x14ac:dyDescent="0.3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.75" x14ac:dyDescent="0.3">
      <c r="A15" s="10" t="s">
        <v>72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.75" x14ac:dyDescent="0.3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.75" x14ac:dyDescent="0.3">
      <c r="A17" s="10" t="s">
        <v>73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.7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.75" x14ac:dyDescent="0.3">
      <c r="A19" s="3" t="s">
        <v>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9BB3-514A-4D7D-B802-4D474D082E30}">
  <dimension ref="A2:P67"/>
  <sheetViews>
    <sheetView workbookViewId="0">
      <selection activeCell="A12" sqref="A12"/>
    </sheetView>
  </sheetViews>
  <sheetFormatPr defaultRowHeight="15" x14ac:dyDescent="0.25"/>
  <cols>
    <col min="1" max="1" width="14.85546875" customWidth="1"/>
    <col min="2" max="2" width="17" customWidth="1"/>
  </cols>
  <sheetData>
    <row r="2" spans="1:12" ht="18.75" x14ac:dyDescent="0.3">
      <c r="A2" s="11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23"/>
    </row>
    <row r="3" spans="1:12" ht="18.75" x14ac:dyDescent="0.3">
      <c r="A3" s="3"/>
      <c r="B3" s="22" t="s">
        <v>75</v>
      </c>
      <c r="C3" s="22" t="s">
        <v>76</v>
      </c>
      <c r="D3" s="22" t="s">
        <v>77</v>
      </c>
      <c r="E3" s="3"/>
      <c r="F3" s="3"/>
      <c r="G3" s="3"/>
      <c r="H3" s="3"/>
      <c r="I3" s="3"/>
      <c r="J3" s="3"/>
      <c r="K3" s="3"/>
    </row>
    <row r="4" spans="1:12" ht="18.75" x14ac:dyDescent="0.3">
      <c r="A4" s="3"/>
      <c r="B4" s="21">
        <v>1</v>
      </c>
      <c r="C4" s="21">
        <v>50</v>
      </c>
      <c r="D4" s="21">
        <v>55</v>
      </c>
      <c r="E4" s="3"/>
      <c r="F4" s="3"/>
      <c r="G4" s="3"/>
      <c r="H4" s="3"/>
      <c r="I4" s="3"/>
      <c r="J4" s="3"/>
      <c r="K4" s="3"/>
    </row>
    <row r="5" spans="1:12" ht="18.75" x14ac:dyDescent="0.3">
      <c r="A5" s="3"/>
      <c r="B5" s="21">
        <v>2</v>
      </c>
      <c r="C5" s="21">
        <v>60</v>
      </c>
      <c r="D5" s="21">
        <v>65</v>
      </c>
      <c r="E5" s="3"/>
      <c r="F5" s="3"/>
      <c r="G5" s="3"/>
      <c r="H5" s="3"/>
      <c r="I5" s="3"/>
      <c r="J5" s="3"/>
      <c r="K5" s="3"/>
    </row>
    <row r="6" spans="1:12" ht="18.75" x14ac:dyDescent="0.3">
      <c r="A6" s="3"/>
      <c r="B6" s="21">
        <v>3</v>
      </c>
      <c r="C6" s="21">
        <v>58</v>
      </c>
      <c r="D6" s="21">
        <v>59</v>
      </c>
      <c r="E6" s="3"/>
      <c r="F6" s="3"/>
      <c r="G6" s="3"/>
      <c r="H6" s="3"/>
      <c r="I6" s="3"/>
      <c r="J6" s="3"/>
      <c r="K6" s="3"/>
    </row>
    <row r="7" spans="1:12" ht="18.75" x14ac:dyDescent="0.3">
      <c r="A7" s="3"/>
      <c r="B7" s="21">
        <v>4</v>
      </c>
      <c r="C7" s="21">
        <v>55</v>
      </c>
      <c r="D7" s="21">
        <v>58</v>
      </c>
      <c r="E7" s="3"/>
      <c r="F7" s="3"/>
      <c r="G7" s="3"/>
      <c r="H7" s="3"/>
      <c r="I7" s="3"/>
      <c r="J7" s="3"/>
      <c r="K7" s="3"/>
    </row>
    <row r="8" spans="1:12" ht="18.75" x14ac:dyDescent="0.3">
      <c r="A8" s="3"/>
      <c r="B8" s="21">
        <v>5</v>
      </c>
      <c r="C8" s="21">
        <v>62</v>
      </c>
      <c r="D8" s="21">
        <v>63</v>
      </c>
      <c r="E8" s="3"/>
      <c r="F8" s="3"/>
      <c r="G8" s="3"/>
      <c r="H8" s="3"/>
      <c r="I8" s="3"/>
      <c r="J8" s="3"/>
      <c r="K8" s="3"/>
    </row>
    <row r="9" spans="1:12" ht="18.75" x14ac:dyDescent="0.3">
      <c r="A9" s="3"/>
      <c r="B9" s="21">
        <v>6</v>
      </c>
      <c r="C9" s="21">
        <v>56</v>
      </c>
      <c r="D9" s="21">
        <v>59</v>
      </c>
      <c r="E9" s="3"/>
      <c r="F9" s="3"/>
      <c r="G9" s="3"/>
      <c r="H9" s="3"/>
      <c r="I9" s="3"/>
      <c r="J9" s="3"/>
      <c r="K9" s="3"/>
    </row>
    <row r="10" spans="1:12" ht="18.75" x14ac:dyDescent="0.3">
      <c r="A10" s="11" t="s">
        <v>78</v>
      </c>
      <c r="B10" s="11"/>
      <c r="C10" s="11"/>
      <c r="D10" s="11"/>
      <c r="E10" s="11"/>
      <c r="F10" s="11"/>
      <c r="G10" s="3"/>
      <c r="H10" s="3"/>
      <c r="I10" s="3"/>
      <c r="J10" s="3"/>
      <c r="K10" s="3"/>
    </row>
    <row r="11" spans="1:12" ht="18.7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 ht="18.75" x14ac:dyDescent="0.3">
      <c r="A12" s="3" t="s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ht="18.75" x14ac:dyDescent="0.3">
      <c r="A13" s="15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8.7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8.75" x14ac:dyDescent="0.3">
      <c r="A15" s="3" t="s">
        <v>97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8.75" x14ac:dyDescent="0.3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8.75" x14ac:dyDescent="0.3">
      <c r="A17" s="16" t="s">
        <v>98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8.75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8.75" x14ac:dyDescent="0.3">
      <c r="A19" s="16" t="s">
        <v>99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8.7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.75" x14ac:dyDescent="0.3">
      <c r="A21" s="15" t="s">
        <v>79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.75" x14ac:dyDescent="0.3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8.75" x14ac:dyDescent="0.3">
      <c r="A23" s="9" t="s">
        <v>100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8.75" x14ac:dyDescent="0.3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8.75" x14ac:dyDescent="0.3">
      <c r="A25" s="9" t="s">
        <v>80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8.7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8.75" x14ac:dyDescent="0.3">
      <c r="A27" s="7" t="s">
        <v>82</v>
      </c>
      <c r="B27" s="7"/>
      <c r="C27" s="7"/>
      <c r="D27" s="7"/>
      <c r="E27" s="7"/>
      <c r="F27" s="3"/>
      <c r="G27" s="3"/>
      <c r="H27" s="3"/>
      <c r="I27" s="3"/>
      <c r="J27" s="3"/>
      <c r="K27" s="3"/>
    </row>
    <row r="28" spans="1:11" ht="27.75" customHeight="1" x14ac:dyDescent="0.3">
      <c r="A28" s="20" t="s">
        <v>75</v>
      </c>
      <c r="B28" s="20" t="s">
        <v>81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ht="18.75" x14ac:dyDescent="0.3">
      <c r="A29" s="21">
        <v>1</v>
      </c>
      <c r="B29" s="21">
        <v>5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ht="18.75" x14ac:dyDescent="0.3">
      <c r="A30" s="21">
        <v>2</v>
      </c>
      <c r="B30" s="21">
        <v>5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ht="18.75" x14ac:dyDescent="0.3">
      <c r="A31" s="21">
        <v>3</v>
      </c>
      <c r="B31" s="21">
        <v>1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ht="18.75" x14ac:dyDescent="0.3">
      <c r="A32" s="21">
        <v>4</v>
      </c>
      <c r="B32" s="21">
        <v>3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ht="18.75" x14ac:dyDescent="0.3">
      <c r="A33" s="21">
        <v>5</v>
      </c>
      <c r="B33" s="21">
        <v>1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ht="18.75" x14ac:dyDescent="0.3">
      <c r="A34" s="21">
        <v>6</v>
      </c>
      <c r="B34" s="21">
        <v>3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ht="18.75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8.75" x14ac:dyDescent="0.3">
      <c r="A36" s="9" t="s">
        <v>83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8.7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8.75" x14ac:dyDescent="0.3">
      <c r="A38" s="3" t="s">
        <v>84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8.7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8.75" x14ac:dyDescent="0.3">
      <c r="A40" s="15" t="s">
        <v>85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8.7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8.75" x14ac:dyDescent="0.3">
      <c r="A42" s="3" t="s">
        <v>86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8.75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8.75" x14ac:dyDescent="0.3">
      <c r="A44" s="3" t="s">
        <v>87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8.7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8.75" x14ac:dyDescent="0.3">
      <c r="A46" s="3" t="s">
        <v>88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8.7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8.75" x14ac:dyDescent="0.3">
      <c r="A48" s="15" t="s">
        <v>89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8.75" x14ac:dyDescent="0.3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8.75" x14ac:dyDescent="0.3">
      <c r="A50" s="9" t="s">
        <v>90</v>
      </c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8.75" x14ac:dyDescent="0.3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8.75" x14ac:dyDescent="0.3">
      <c r="A52" s="9" t="s">
        <v>91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8.75" x14ac:dyDescent="0.3">
      <c r="A53" s="9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8.75" x14ac:dyDescent="0.3">
      <c r="A54" s="16" t="s">
        <v>92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8.7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8.75" x14ac:dyDescent="0.3">
      <c r="A56" s="15" t="s">
        <v>93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8.75" x14ac:dyDescent="0.3">
      <c r="A57" s="9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.75" x14ac:dyDescent="0.3">
      <c r="A58" s="9" t="s">
        <v>94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.75" x14ac:dyDescent="0.3">
      <c r="A59" s="9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.75" x14ac:dyDescent="0.3">
      <c r="A60" s="9" t="s">
        <v>95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.7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.75" x14ac:dyDescent="0.3">
      <c r="A62" s="3" t="s">
        <v>101</v>
      </c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.7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.75" x14ac:dyDescent="0.3">
      <c r="A64" s="15" t="s">
        <v>96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6" ht="18.7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6" ht="18.75" x14ac:dyDescent="0.3">
      <c r="A66" s="17" t="s">
        <v>102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8"/>
      <c r="M66" s="18"/>
      <c r="N66" s="18"/>
      <c r="O66" s="18"/>
      <c r="P66" s="18"/>
    </row>
    <row r="67" spans="1:16" ht="18.7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A25C-6CCD-4424-B974-F11491B61A22}">
  <dimension ref="A2:L82"/>
  <sheetViews>
    <sheetView workbookViewId="0">
      <selection activeCell="A11" sqref="A11"/>
    </sheetView>
  </sheetViews>
  <sheetFormatPr defaultRowHeight="15" x14ac:dyDescent="0.25"/>
  <cols>
    <col min="1" max="1" width="24.140625" customWidth="1"/>
    <col min="2" max="2" width="11.42578125" customWidth="1"/>
    <col min="3" max="3" width="12.42578125" customWidth="1"/>
    <col min="4" max="4" width="11.42578125" customWidth="1"/>
  </cols>
  <sheetData>
    <row r="2" spans="1:11" ht="18.75" x14ac:dyDescent="0.3">
      <c r="A2" s="11" t="s">
        <v>103</v>
      </c>
      <c r="B2" s="11"/>
      <c r="C2" s="11"/>
      <c r="D2" s="11"/>
      <c r="E2" s="11"/>
      <c r="F2" s="11"/>
      <c r="G2" s="11"/>
      <c r="H2" s="11"/>
      <c r="I2" s="11"/>
      <c r="J2" s="3"/>
      <c r="K2" s="3"/>
    </row>
    <row r="3" spans="1:11" ht="18.7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37.5" x14ac:dyDescent="0.3">
      <c r="A4" s="3"/>
      <c r="B4" s="29" t="s">
        <v>104</v>
      </c>
      <c r="C4" s="29" t="s">
        <v>105</v>
      </c>
      <c r="D4" s="29" t="s">
        <v>106</v>
      </c>
      <c r="E4" s="29" t="s">
        <v>107</v>
      </c>
      <c r="F4" s="3"/>
      <c r="G4" s="3"/>
      <c r="H4" s="3"/>
      <c r="I4" s="3"/>
      <c r="J4" s="3"/>
      <c r="K4" s="3"/>
    </row>
    <row r="5" spans="1:11" ht="18.75" x14ac:dyDescent="0.3">
      <c r="A5" s="3"/>
      <c r="B5" s="21" t="s">
        <v>108</v>
      </c>
      <c r="C5" s="21">
        <v>30</v>
      </c>
      <c r="D5" s="21">
        <v>20</v>
      </c>
      <c r="E5" s="21">
        <v>50</v>
      </c>
      <c r="F5" s="3"/>
      <c r="G5" s="3"/>
      <c r="H5" s="3"/>
      <c r="I5" s="3"/>
      <c r="J5" s="3"/>
      <c r="K5" s="3"/>
    </row>
    <row r="6" spans="1:11" ht="18.75" x14ac:dyDescent="0.3">
      <c r="A6" s="3"/>
      <c r="B6" s="21" t="s">
        <v>109</v>
      </c>
      <c r="C6" s="21">
        <v>40</v>
      </c>
      <c r="D6" s="21">
        <v>10</v>
      </c>
      <c r="E6" s="21">
        <v>50</v>
      </c>
      <c r="F6" s="3"/>
      <c r="G6" s="3"/>
      <c r="H6" s="3"/>
      <c r="I6" s="3"/>
      <c r="J6" s="3"/>
      <c r="K6" s="3"/>
    </row>
    <row r="7" spans="1:11" ht="18.75" x14ac:dyDescent="0.3">
      <c r="A7" s="3"/>
      <c r="B7" s="24" t="s">
        <v>107</v>
      </c>
      <c r="C7" s="24">
        <v>70</v>
      </c>
      <c r="D7" s="24">
        <v>30</v>
      </c>
      <c r="E7" s="24">
        <v>100</v>
      </c>
      <c r="F7" s="3"/>
      <c r="G7" s="3"/>
      <c r="H7" s="3"/>
      <c r="I7" s="3"/>
      <c r="J7" s="3"/>
      <c r="K7" s="3"/>
    </row>
    <row r="8" spans="1:11" ht="18.7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8.75" x14ac:dyDescent="0.3">
      <c r="A9" s="11" t="s">
        <v>110</v>
      </c>
      <c r="B9" s="11"/>
      <c r="C9" s="11"/>
      <c r="D9" s="3"/>
      <c r="E9" s="3"/>
      <c r="F9" s="3"/>
      <c r="G9" s="3"/>
      <c r="H9" s="3"/>
      <c r="I9" s="3"/>
      <c r="J9" s="3"/>
      <c r="K9" s="3"/>
    </row>
    <row r="10" spans="1:11" ht="18.7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8.75" x14ac:dyDescent="0.3">
      <c r="A11" s="3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8.75" x14ac:dyDescent="0.3">
      <c r="A12" s="25"/>
      <c r="B12" s="25"/>
      <c r="C12" s="25"/>
      <c r="D12" s="25"/>
      <c r="E12" s="3"/>
      <c r="F12" s="3"/>
      <c r="G12" s="3"/>
      <c r="H12" s="3"/>
      <c r="I12" s="3"/>
      <c r="J12" s="3"/>
      <c r="K12" s="3"/>
    </row>
    <row r="13" spans="1:11" ht="37.5" x14ac:dyDescent="0.3">
      <c r="A13" s="24" t="s">
        <v>104</v>
      </c>
      <c r="B13" s="24" t="s">
        <v>105</v>
      </c>
      <c r="C13" s="24" t="s">
        <v>106</v>
      </c>
      <c r="D13" s="24" t="s">
        <v>111</v>
      </c>
      <c r="E13" s="3"/>
      <c r="F13" s="3"/>
      <c r="G13" s="3"/>
      <c r="H13" s="3"/>
      <c r="I13" s="3"/>
      <c r="J13" s="3"/>
      <c r="K13" s="3"/>
    </row>
    <row r="14" spans="1:11" ht="18.75" x14ac:dyDescent="0.3">
      <c r="A14" s="21" t="s">
        <v>108</v>
      </c>
      <c r="B14" s="21">
        <v>30</v>
      </c>
      <c r="C14" s="21">
        <v>20</v>
      </c>
      <c r="D14" s="26" cm="1">
        <f t="array" ref="D14:E14">B14:C14</f>
        <v>30</v>
      </c>
      <c r="E14" s="3">
        <v>20</v>
      </c>
      <c r="F14" s="3"/>
      <c r="G14" s="3"/>
      <c r="H14" s="3"/>
      <c r="I14" s="3"/>
      <c r="J14" s="3"/>
      <c r="K14" s="3"/>
    </row>
    <row r="15" spans="1:11" ht="18.75" x14ac:dyDescent="0.3">
      <c r="A15" s="21" t="s">
        <v>109</v>
      </c>
      <c r="B15" s="21">
        <v>40</v>
      </c>
      <c r="C15" s="21">
        <v>10</v>
      </c>
      <c r="D15" s="26" cm="1">
        <f t="array" ref="D15:E15">B15:C15</f>
        <v>40</v>
      </c>
      <c r="E15" s="3">
        <v>10</v>
      </c>
      <c r="F15" s="3"/>
      <c r="G15" s="3"/>
      <c r="H15" s="3"/>
      <c r="I15" s="3"/>
      <c r="J15" s="3"/>
      <c r="K15" s="3"/>
    </row>
    <row r="16" spans="1:11" ht="18.75" x14ac:dyDescent="0.3">
      <c r="A16" s="24" t="s">
        <v>112</v>
      </c>
      <c r="B16" s="26">
        <f>SUM(B14:B15)</f>
        <v>70</v>
      </c>
      <c r="C16" s="26">
        <f>SUM(C14:C15)</f>
        <v>30</v>
      </c>
      <c r="D16" s="26">
        <f>SUM(D14:D15)</f>
        <v>70</v>
      </c>
      <c r="E16" s="3"/>
      <c r="F16" s="3"/>
      <c r="G16" s="3"/>
      <c r="H16" s="3"/>
      <c r="I16" s="3"/>
      <c r="J16" s="3"/>
      <c r="K16" s="3"/>
    </row>
    <row r="17" spans="1:11" ht="18.7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8.75" x14ac:dyDescent="0.3">
      <c r="A18" s="15" t="s">
        <v>113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8.7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8.75" x14ac:dyDescent="0.3">
      <c r="A20" s="7" t="s">
        <v>114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.7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.75" x14ac:dyDescent="0.3">
      <c r="A22" s="3" t="s">
        <v>115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8.75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37.5" x14ac:dyDescent="0.3">
      <c r="A24" s="24" t="s">
        <v>116</v>
      </c>
      <c r="B24" s="24" t="s">
        <v>105</v>
      </c>
      <c r="C24" s="24" t="s">
        <v>106</v>
      </c>
      <c r="D24" s="3"/>
      <c r="E24" s="3"/>
      <c r="F24" s="3"/>
      <c r="G24" s="3"/>
      <c r="H24" s="3"/>
      <c r="I24" s="3"/>
      <c r="J24" s="3"/>
      <c r="K24" s="3"/>
    </row>
    <row r="25" spans="1:11" ht="18.75" x14ac:dyDescent="0.3">
      <c r="A25" s="21" t="s">
        <v>108</v>
      </c>
      <c r="B25" s="26">
        <f>($D14*B$16)/$D$16</f>
        <v>30</v>
      </c>
      <c r="C25" s="26">
        <f>($D14*C$16)/$D$16</f>
        <v>12.857142857142858</v>
      </c>
      <c r="D25" s="3"/>
      <c r="E25" s="3"/>
      <c r="F25" s="3"/>
      <c r="G25" s="3"/>
      <c r="H25" s="3"/>
      <c r="I25" s="3"/>
      <c r="J25" s="3"/>
      <c r="K25" s="3"/>
    </row>
    <row r="26" spans="1:11" ht="18.75" x14ac:dyDescent="0.3">
      <c r="A26" s="21" t="s">
        <v>109</v>
      </c>
      <c r="B26" s="26">
        <f>($D15*B$16)/$D$16</f>
        <v>40</v>
      </c>
      <c r="C26" s="26">
        <f>($D15*C$16)/$D$16</f>
        <v>17.142857142857142</v>
      </c>
      <c r="D26" s="3"/>
      <c r="E26" s="3"/>
      <c r="F26" s="3"/>
      <c r="G26" s="3"/>
      <c r="H26" s="3"/>
      <c r="I26" s="3"/>
      <c r="J26" s="3"/>
      <c r="K26" s="3"/>
    </row>
    <row r="27" spans="1:11" ht="18.7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8.75" x14ac:dyDescent="0.3">
      <c r="A28" s="15" t="s">
        <v>117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8.75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8.75" x14ac:dyDescent="0.3">
      <c r="A30" s="7" t="s">
        <v>118</v>
      </c>
      <c r="B30" s="3" t="s">
        <v>119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ht="18.75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37.5" x14ac:dyDescent="0.3">
      <c r="A32" s="24" t="s">
        <v>120</v>
      </c>
      <c r="B32" s="24" t="s">
        <v>105</v>
      </c>
      <c r="C32" s="24" t="s">
        <v>106</v>
      </c>
      <c r="D32" s="3"/>
      <c r="E32" s="3"/>
      <c r="F32" s="3"/>
      <c r="G32" s="3"/>
      <c r="H32" s="3"/>
      <c r="I32" s="3"/>
      <c r="J32" s="3"/>
      <c r="K32" s="3"/>
    </row>
    <row r="33" spans="1:11" ht="18.75" x14ac:dyDescent="0.3">
      <c r="A33" s="21" t="s">
        <v>108</v>
      </c>
      <c r="B33" s="26">
        <f>(B14-B25)^2/B25</f>
        <v>0</v>
      </c>
      <c r="C33" s="26">
        <f>(C14-C25)^2/C25</f>
        <v>3.9682539682539679</v>
      </c>
      <c r="D33" s="3"/>
      <c r="E33" s="3"/>
      <c r="F33" s="3"/>
      <c r="G33" s="3"/>
      <c r="H33" s="3"/>
      <c r="I33" s="3"/>
      <c r="J33" s="3"/>
      <c r="K33" s="3"/>
    </row>
    <row r="34" spans="1:11" ht="18.75" x14ac:dyDescent="0.3">
      <c r="A34" s="21" t="s">
        <v>109</v>
      </c>
      <c r="B34" s="26">
        <f>(B15-B26)^2/B26</f>
        <v>0</v>
      </c>
      <c r="C34" s="26">
        <f>(C15-C26)^2/C26</f>
        <v>2.9761904761904758</v>
      </c>
      <c r="D34" s="3"/>
      <c r="E34" s="3"/>
      <c r="F34" s="3"/>
      <c r="G34" s="3"/>
      <c r="H34" s="3"/>
      <c r="I34" s="3"/>
      <c r="J34" s="3"/>
      <c r="K34" s="3"/>
    </row>
    <row r="35" spans="1:11" ht="18.75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8.75" x14ac:dyDescent="0.3">
      <c r="A36" s="7" t="s">
        <v>121</v>
      </c>
      <c r="B36" s="7"/>
      <c r="C36" s="7"/>
      <c r="D36" s="3"/>
      <c r="E36" s="3"/>
      <c r="F36" s="3"/>
      <c r="G36" s="3"/>
      <c r="H36" s="3"/>
      <c r="I36" s="3"/>
      <c r="J36" s="3"/>
      <c r="K36" s="3"/>
    </row>
    <row r="37" spans="1:11" ht="18.7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8.75" x14ac:dyDescent="0.3">
      <c r="A38" s="27">
        <f>SUM(B33:C34)</f>
        <v>6.9444444444444438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8.75" x14ac:dyDescent="0.3">
      <c r="A39" s="7" t="s">
        <v>127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8.7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8.75" x14ac:dyDescent="0.3">
      <c r="A41" s="7" t="s">
        <v>122</v>
      </c>
      <c r="B41" s="7"/>
      <c r="C41" s="3"/>
      <c r="D41" s="3"/>
      <c r="E41" s="3"/>
      <c r="F41" s="3"/>
      <c r="G41" s="3"/>
      <c r="H41" s="3"/>
      <c r="I41" s="3"/>
      <c r="J41" s="3"/>
      <c r="K41" s="3"/>
    </row>
    <row r="42" spans="1:11" ht="18.75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8.75" x14ac:dyDescent="0.3">
      <c r="A43" s="17">
        <f>(ROWS(B14:B15)-1)*(COLUMNS(B14:C14)-1)</f>
        <v>1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8.75" x14ac:dyDescent="0.3">
      <c r="A44" s="3" t="s">
        <v>123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8.7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8.75" x14ac:dyDescent="0.3">
      <c r="A46" s="7" t="s">
        <v>124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8.7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8.75" x14ac:dyDescent="0.3">
      <c r="A48" s="17">
        <f>_xlfn.CHISQ.INV.RT(0.05,1)</f>
        <v>3.8414588206941236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2" ht="18.75" x14ac:dyDescent="0.3">
      <c r="A49" s="3" t="s">
        <v>125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2" ht="18.7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2" ht="18.75" x14ac:dyDescent="0.3">
      <c r="A51" s="28" t="s">
        <v>128</v>
      </c>
      <c r="B51" s="28"/>
      <c r="C51" s="3"/>
      <c r="D51" s="3"/>
      <c r="E51" s="3"/>
      <c r="F51" s="3"/>
      <c r="G51" s="3"/>
      <c r="H51" s="3"/>
      <c r="I51" s="3"/>
      <c r="J51" s="3"/>
      <c r="K51" s="3"/>
    </row>
    <row r="52" spans="1:12" ht="18.7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2" ht="18.75" x14ac:dyDescent="0.3">
      <c r="A53" s="17" t="s">
        <v>126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8"/>
    </row>
    <row r="54" spans="1:12" ht="18.75" x14ac:dyDescent="0.3">
      <c r="A54" s="17" t="s">
        <v>129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8"/>
    </row>
    <row r="55" spans="1:12" ht="18.7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2" ht="18.7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ht="18.7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2" ht="18.7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2" ht="18.7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2" ht="18.7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2" ht="18.7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ht="18.7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2" ht="18.7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2" ht="18.7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.7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.7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.7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.7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.7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.7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.7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.7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.7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.7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.7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.7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.7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.7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.7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.7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.7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.7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s7249</dc:creator>
  <cp:lastModifiedBy>s7249</cp:lastModifiedBy>
  <dcterms:created xsi:type="dcterms:W3CDTF">2026-01-06T04:19:10Z</dcterms:created>
  <dcterms:modified xsi:type="dcterms:W3CDTF">2026-01-06T06:00:00Z</dcterms:modified>
</cp:coreProperties>
</file>